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Rooms" sheetId="2" state="visible" r:id="rId2"/>
    <sheet name="Doors" sheetId="3" state="visible" r:id="rId3"/>
    <sheet name="Windows" sheetId="4" state="visible" r:id="rId4"/>
    <sheet name="Furniture" sheetId="5" state="visible" r:id="rId5"/>
    <sheet name="Finishes" sheetId="6" state="visible" r:id="rId6"/>
    <sheet name="Open_Issues" sheetId="7" state="visible" r:id="rId7"/>
    <sheet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#"/>
    <numFmt numFmtId="166" formatCode="#,##0;(#,##0);-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2F6B4F"/>
      </patternFill>
    </fill>
    <fill>
      <patternFill patternType="solid">
        <fgColor rgb="00E8EFE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C8C8C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166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Claude</author>
  </authors>
  <commentList>
    <comment ref="G1" authorId="0" shapeId="0">
      <text>
        <t>1 sq ft = 0.092903 sq m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I1" authorId="0" shapeId="0">
      <text>
        <t>Your estimate per unit, in rupees. Leave blank until you have a quote.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Kerala Home, Phase 1: schedules</t>
        </is>
      </c>
    </row>
    <row r="2">
      <c r="A2" s="2" t="inlineStr">
        <is>
          <t>Stage: Concept, not for construction. Revision A (concept), 30 Oct 2026.</t>
        </is>
      </c>
    </row>
    <row r="3">
      <c r="A3" s="2" t="inlineStr">
        <is>
          <t>All dimensions in feet at wall centrelines, taken from the concept plan (sheet A-102).</t>
        </is>
      </c>
    </row>
    <row r="4">
      <c r="A4" s="2" t="inlineStr"/>
    </row>
    <row r="5">
      <c r="A5" s="1" t="inlineStr">
        <is>
          <t>How to use</t>
        </is>
      </c>
    </row>
    <row r="6">
      <c r="A6" s="2" t="inlineStr">
        <is>
          <t>Yellow cells are for you to fill in (budget estimates, chosen products, status). Everything else is calculated or drawn from the plan.</t>
        </is>
      </c>
    </row>
    <row r="7">
      <c r="A7" s="2" t="inlineStr">
        <is>
          <t>Example: in Furniture, type 18000 in 'Est. unit cost (Rs)' for an item costing Rs 18,000; the line total and grand total update automatically.</t>
        </is>
      </c>
    </row>
    <row r="8">
      <c r="A8" s="2" t="inlineStr">
        <is>
          <t>Areas, heights and totals are formulas, so editing a room's size updates its area.</t>
        </is>
      </c>
    </row>
    <row r="9">
      <c r="A9" s="2" t="inlineStr"/>
    </row>
    <row r="10">
      <c r="A10" s="1" t="inlineStr">
        <is>
          <t>Tabs</t>
        </is>
      </c>
    </row>
    <row r="11">
      <c r="A11" s="2" t="inlineStr">
        <is>
          <t>Rooms: room sizes and areas.  Doors / Windows: opening sizes and types.  Furniture: every furniture item, fixture and built-in, with budget columns.</t>
        </is>
      </c>
    </row>
    <row r="12">
      <c r="A12" s="2" t="inlineStr">
        <is>
          <t>Finishes: proposed floor, wall and ceiling finishes.  Open_Issues: items to resolve with professionals.  Decisions: what has been agreed so far.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6" customWidth="1" min="3" max="3"/>
    <col width="10" customWidth="1" min="4" max="4"/>
    <col width="10" customWidth="1" min="5" max="5"/>
    <col width="12" customWidth="1" min="6" max="6"/>
    <col width="12" customWidth="1" min="7" max="7"/>
    <col width="40" customWidth="1" min="8" max="8"/>
  </cols>
  <sheetData>
    <row r="1" ht="30" customHeight="1">
      <c r="A1" s="3" t="inlineStr">
        <is>
          <t>ID</t>
        </is>
      </c>
      <c r="B1" s="3" t="inlineStr">
        <is>
          <t>Room</t>
        </is>
      </c>
      <c r="C1" s="3" t="inlineStr">
        <is>
          <t>Zone</t>
        </is>
      </c>
      <c r="D1" s="3" t="inlineStr">
        <is>
          <t>E-W (ft)</t>
        </is>
      </c>
      <c r="E1" s="3" t="inlineStr">
        <is>
          <t>N-S (ft)</t>
        </is>
      </c>
      <c r="F1" s="3" t="inlineStr">
        <is>
          <t>Area (sq ft)</t>
        </is>
      </c>
      <c r="G1" s="3" t="inlineStr">
        <is>
          <t>Area (sq m)</t>
        </is>
      </c>
      <c r="H1" s="3" t="inlineStr">
        <is>
          <t>Notes</t>
        </is>
      </c>
    </row>
    <row r="2">
      <c r="A2" s="4" t="inlineStr">
        <is>
          <t>R01</t>
        </is>
      </c>
      <c r="B2" s="4" t="inlineStr">
        <is>
          <t>Office 2</t>
        </is>
      </c>
      <c r="C2" s="4" t="inlineStr">
        <is>
          <t>Master suite</t>
        </is>
      </c>
      <c r="D2" s="4" t="n">
        <v>9</v>
      </c>
      <c r="E2" s="4" t="n">
        <v>8</v>
      </c>
      <c r="F2" s="5">
        <f>D2*E2</f>
        <v/>
      </c>
      <c r="G2" s="5">
        <f>F2*0.092903</f>
        <v/>
      </c>
      <c r="H2" s="4" t="inlineStr"/>
    </row>
    <row r="3">
      <c r="A3" s="4" t="inlineStr">
        <is>
          <t>R02</t>
        </is>
      </c>
      <c r="B3" s="4" t="inlineStr">
        <is>
          <t>Walk-in wardrobe</t>
        </is>
      </c>
      <c r="C3" s="4" t="inlineStr">
        <is>
          <t>Master suite</t>
        </is>
      </c>
      <c r="D3" s="4" t="n">
        <v>7</v>
      </c>
      <c r="E3" s="4" t="n">
        <v>8</v>
      </c>
      <c r="F3" s="5">
        <f>D3*E3</f>
        <v/>
      </c>
      <c r="G3" s="5">
        <f>F3*0.092903</f>
        <v/>
      </c>
      <c r="H3" s="4" t="inlineStr"/>
    </row>
    <row r="4">
      <c r="A4" s="4" t="inlineStr">
        <is>
          <t>R03</t>
        </is>
      </c>
      <c r="B4" s="4" t="inlineStr">
        <is>
          <t>Dressing alcove</t>
        </is>
      </c>
      <c r="C4" s="4" t="inlineStr">
        <is>
          <t>Master suite</t>
        </is>
      </c>
      <c r="D4" s="4" t="n">
        <v>5</v>
      </c>
      <c r="E4" s="4" t="n">
        <v>6</v>
      </c>
      <c r="F4" s="5">
        <f>D4*E4</f>
        <v/>
      </c>
      <c r="G4" s="5">
        <f>F4*0.092903</f>
        <v/>
      </c>
      <c r="H4" s="4" t="inlineStr"/>
    </row>
    <row r="5">
      <c r="A5" s="4" t="inlineStr">
        <is>
          <t>R04</t>
        </is>
      </c>
      <c r="B5" s="4" t="inlineStr">
        <is>
          <t>Ensuite</t>
        </is>
      </c>
      <c r="C5" s="4" t="inlineStr">
        <is>
          <t>Master suite</t>
        </is>
      </c>
      <c r="D5" s="4" t="n">
        <v>5</v>
      </c>
      <c r="E5" s="4" t="n">
        <v>8</v>
      </c>
      <c r="F5" s="5">
        <f>D5*E5</f>
        <v/>
      </c>
      <c r="G5" s="5">
        <f>F5*0.092903</f>
        <v/>
      </c>
      <c r="H5" s="4" t="inlineStr"/>
    </row>
    <row r="6">
      <c r="A6" s="4" t="inlineStr">
        <is>
          <t>R05</t>
        </is>
      </c>
      <c r="B6" s="4" t="inlineStr">
        <is>
          <t>Master bedroom</t>
        </is>
      </c>
      <c r="C6" s="4" t="inlineStr">
        <is>
          <t>Master suite</t>
        </is>
      </c>
      <c r="D6" s="4" t="n">
        <v>11</v>
      </c>
      <c r="E6" s="4" t="n">
        <v>14</v>
      </c>
      <c r="F6" s="5">
        <f>D6*E6</f>
        <v/>
      </c>
      <c r="G6" s="5">
        <f>F6*0.092903</f>
        <v/>
      </c>
      <c r="H6" s="4" t="inlineStr"/>
    </row>
    <row r="7">
      <c r="A7" s="4" t="inlineStr">
        <is>
          <t>R06</t>
        </is>
      </c>
      <c r="B7" s="4" t="inlineStr">
        <is>
          <t>Office 1</t>
        </is>
      </c>
      <c r="C7" s="4" t="inlineStr">
        <is>
          <t>Work</t>
        </is>
      </c>
      <c r="D7" s="4" t="n">
        <v>9</v>
      </c>
      <c r="E7" s="4" t="n">
        <v>8</v>
      </c>
      <c r="F7" s="5">
        <f>D7*E7</f>
        <v/>
      </c>
      <c r="G7" s="5">
        <f>F7*0.092903</f>
        <v/>
      </c>
      <c r="H7" s="4" t="inlineStr"/>
    </row>
    <row r="8">
      <c r="A8" s="4" t="inlineStr">
        <is>
          <t>R07</t>
        </is>
      </c>
      <c r="B8" s="4" t="inlineStr">
        <is>
          <t>Bath 2</t>
        </is>
      </c>
      <c r="C8" s="4" t="inlineStr">
        <is>
          <t>Service</t>
        </is>
      </c>
      <c r="D8" s="4" t="n">
        <v>6</v>
      </c>
      <c r="E8" s="4" t="n">
        <v>8</v>
      </c>
      <c r="F8" s="5">
        <f>D8*E8</f>
        <v/>
      </c>
      <c r="G8" s="5">
        <f>F8*0.092903</f>
        <v/>
      </c>
      <c r="H8" s="4" t="inlineStr"/>
    </row>
    <row r="9">
      <c r="A9" s="4" t="inlineStr">
        <is>
          <t>R08</t>
        </is>
      </c>
      <c r="B9" s="4" t="inlineStr">
        <is>
          <t>Hall</t>
        </is>
      </c>
      <c r="C9" s="4" t="inlineStr">
        <is>
          <t>Circulation</t>
        </is>
      </c>
      <c r="D9" s="4" t="n">
        <v>12</v>
      </c>
      <c r="E9" s="4" t="n">
        <v>4</v>
      </c>
      <c r="F9" s="5">
        <f>D9*E9</f>
        <v/>
      </c>
      <c r="G9" s="5">
        <f>F9*0.092903</f>
        <v/>
      </c>
      <c r="H9" s="4" t="inlineStr"/>
    </row>
    <row r="10">
      <c r="A10" s="4" t="inlineStr">
        <is>
          <t>R09</t>
        </is>
      </c>
      <c r="B10" s="4" t="inlineStr">
        <is>
          <t>Bedroom 2</t>
        </is>
      </c>
      <c r="C10" s="4" t="inlineStr">
        <is>
          <t>Private</t>
        </is>
      </c>
      <c r="D10" s="4" t="n">
        <v>12</v>
      </c>
      <c r="E10" s="4" t="n">
        <v>10</v>
      </c>
      <c r="F10" s="5">
        <f>D10*E10</f>
        <v/>
      </c>
      <c r="G10" s="5">
        <f>F10*0.092903</f>
        <v/>
      </c>
      <c r="H10" s="4" t="inlineStr">
        <is>
          <t>Includes 2' x 6' built-in wardrobe</t>
        </is>
      </c>
    </row>
    <row r="11">
      <c r="A11" s="4" t="inlineStr">
        <is>
          <t>R10</t>
        </is>
      </c>
      <c r="B11" s="4" t="inlineStr">
        <is>
          <t>Dining (skylit)</t>
        </is>
      </c>
      <c r="C11" s="4" t="inlineStr">
        <is>
          <t>Living</t>
        </is>
      </c>
      <c r="D11" s="4" t="n">
        <v>9</v>
      </c>
      <c r="E11" s="4" t="n">
        <v>8</v>
      </c>
      <c r="F11" s="5">
        <f>D11*E11</f>
        <v/>
      </c>
      <c r="G11" s="5">
        <f>F11*0.092903</f>
        <v/>
      </c>
      <c r="H11" s="4" t="inlineStr">
        <is>
          <t>Under skylight, at plot centre</t>
        </is>
      </c>
    </row>
    <row r="12">
      <c r="A12" s="4" t="inlineStr">
        <is>
          <t>R11</t>
        </is>
      </c>
      <c r="B12" s="4" t="inlineStr">
        <is>
          <t>Pooja</t>
        </is>
      </c>
      <c r="C12" s="4" t="inlineStr">
        <is>
          <t>Living</t>
        </is>
      </c>
      <c r="D12" s="4" t="n">
        <v>9</v>
      </c>
      <c r="E12" s="4" t="n">
        <v>6</v>
      </c>
      <c r="F12" s="5">
        <f>D12*E12</f>
        <v/>
      </c>
      <c r="G12" s="5">
        <f>F12*0.092903</f>
        <v/>
      </c>
      <c r="H12" s="4" t="inlineStr"/>
    </row>
    <row r="13">
      <c r="A13" s="4" t="inlineStr">
        <is>
          <t>R12</t>
        </is>
      </c>
      <c r="B13" s="4" t="inlineStr">
        <is>
          <t>Store</t>
        </is>
      </c>
      <c r="C13" s="4" t="inlineStr">
        <is>
          <t>Service</t>
        </is>
      </c>
      <c r="D13" s="4" t="n">
        <v>6</v>
      </c>
      <c r="E13" s="4" t="n">
        <v>8</v>
      </c>
      <c r="F13" s="5">
        <f>D13*E13</f>
        <v/>
      </c>
      <c r="G13" s="5">
        <f>F13*0.092903</f>
        <v/>
      </c>
      <c r="H13" s="4" t="inlineStr"/>
    </row>
    <row r="14">
      <c r="A14" s="4" t="inlineStr">
        <is>
          <t>R13</t>
        </is>
      </c>
      <c r="B14" s="4" t="inlineStr">
        <is>
          <t>Wet area (semi-open)</t>
        </is>
      </c>
      <c r="C14" s="4" t="inlineStr">
        <is>
          <t>Service</t>
        </is>
      </c>
      <c r="D14" s="4" t="n">
        <v>8</v>
      </c>
      <c r="E14" s="4" t="n">
        <v>6</v>
      </c>
      <c r="F14" s="5">
        <f>D14*E14</f>
        <v/>
      </c>
      <c r="G14" s="5">
        <f>F14*0.092903</f>
        <v/>
      </c>
      <c r="H14" s="4" t="inlineStr">
        <is>
          <t>Semi-open, jali on south wall</t>
        </is>
      </c>
    </row>
    <row r="15">
      <c r="A15" s="4" t="inlineStr">
        <is>
          <t>R14</t>
        </is>
      </c>
      <c r="B15" s="4" t="inlineStr">
        <is>
          <t>Wash link</t>
        </is>
      </c>
      <c r="C15" s="4" t="inlineStr">
        <is>
          <t>Circulation</t>
        </is>
      </c>
      <c r="D15" s="4" t="n">
        <v>8</v>
      </c>
      <c r="E15" s="4" t="n">
        <v>4</v>
      </c>
      <c r="F15" s="5">
        <f>D15*E15</f>
        <v/>
      </c>
      <c r="G15" s="5">
        <f>F15*0.092903</f>
        <v/>
      </c>
      <c r="H15" s="4" t="inlineStr"/>
    </row>
    <row r="16">
      <c r="A16" s="4" t="inlineStr">
        <is>
          <t>R15</t>
        </is>
      </c>
      <c r="B16" s="4" t="inlineStr">
        <is>
          <t>Kitchen</t>
        </is>
      </c>
      <c r="C16" s="4" t="inlineStr">
        <is>
          <t>Service</t>
        </is>
      </c>
      <c r="D16" s="4" t="n">
        <v>10</v>
      </c>
      <c r="E16" s="4" t="n">
        <v>10</v>
      </c>
      <c r="F16" s="5">
        <f>D16*E16</f>
        <v/>
      </c>
      <c r="G16" s="5">
        <f>F16*0.092903</f>
        <v/>
      </c>
      <c r="H16" s="4" t="inlineStr"/>
    </row>
    <row r="17">
      <c r="A17" s="4" t="inlineStr">
        <is>
          <t>R16</t>
        </is>
      </c>
      <c r="B17" s="4" t="inlineStr">
        <is>
          <t>Living</t>
        </is>
      </c>
      <c r="C17" s="4" t="inlineStr">
        <is>
          <t>Living</t>
        </is>
      </c>
      <c r="D17" s="4" t="n">
        <v>12</v>
      </c>
      <c r="E17" s="4" t="n">
        <v>12</v>
      </c>
      <c r="F17" s="5">
        <f>D17*E17</f>
        <v/>
      </c>
      <c r="G17" s="5">
        <f>F17*0.092903</f>
        <v/>
      </c>
      <c r="H17" s="4" t="inlineStr"/>
    </row>
    <row r="18">
      <c r="A18" s="4" t="inlineStr">
        <is>
          <t>R17</t>
        </is>
      </c>
      <c r="B18" s="4" t="inlineStr">
        <is>
          <t>Poomukham (verandah)</t>
        </is>
      </c>
      <c r="C18" s="4" t="inlineStr">
        <is>
          <t>Entry</t>
        </is>
      </c>
      <c r="D18" s="4" t="n">
        <v>6</v>
      </c>
      <c r="E18" s="4" t="n">
        <v>12</v>
      </c>
      <c r="F18" s="5">
        <f>D18*E18</f>
        <v/>
      </c>
      <c r="G18" s="5">
        <f>F18*0.092903</f>
        <v/>
      </c>
      <c r="H18" s="4" t="inlineStr">
        <is>
          <t>Open verandah</t>
        </is>
      </c>
    </row>
    <row r="19">
      <c r="A19" s="6" t="inlineStr"/>
      <c r="B19" s="6" t="inlineStr">
        <is>
          <t>Total (centreline areas)</t>
        </is>
      </c>
      <c r="C19" s="6" t="inlineStr"/>
      <c r="D19" s="6" t="inlineStr"/>
      <c r="E19" s="6" t="inlineStr"/>
      <c r="F19" s="7">
        <f>SUM(F2:F18)</f>
        <v/>
      </c>
      <c r="G19" s="7">
        <f>SUM(G2:G18)</f>
        <v/>
      </c>
      <c r="H19" s="6" t="inlineStr">
        <is>
          <t>Built footprint 55' x 22' = 1,210 sq ft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0" customWidth="1" min="3" max="3"/>
    <col width="10" customWidth="1" min="4" max="4"/>
    <col width="14" customWidth="1" min="5" max="5"/>
    <col width="40" customWidth="1" min="6" max="6"/>
    <col width="26" customWidth="1" min="7" max="7"/>
    <col width="14" customWidth="1" min="8" max="8"/>
  </cols>
  <sheetData>
    <row r="1" ht="30" customHeight="1">
      <c r="A1" s="3" t="inlineStr">
        <is>
          <t>ID</t>
        </is>
      </c>
      <c r="B1" s="3" t="inlineStr">
        <is>
          <t>Location</t>
        </is>
      </c>
      <c r="C1" s="3" t="inlineStr">
        <is>
          <t>Width (ft)</t>
        </is>
      </c>
      <c r="D1" s="3" t="inlineStr">
        <is>
          <t>Height (ft)</t>
        </is>
      </c>
      <c r="E1" s="3" t="inlineStr">
        <is>
          <t>Operation</t>
        </is>
      </c>
      <c r="F1" s="3" t="inlineStr">
        <is>
          <t>Type / material</t>
        </is>
      </c>
      <c r="G1" s="3" t="inlineStr">
        <is>
          <t>Chosen product</t>
        </is>
      </c>
      <c r="H1" s="3" t="inlineStr">
        <is>
          <t>Status</t>
        </is>
      </c>
    </row>
    <row r="2">
      <c r="A2" s="4" t="inlineStr">
        <is>
          <t>D01</t>
        </is>
      </c>
      <c r="B2" s="4" t="inlineStr">
        <is>
          <t>Main entrance</t>
        </is>
      </c>
      <c r="C2" s="4" t="n">
        <v>3</v>
      </c>
      <c r="D2" s="4" t="n">
        <v>7</v>
      </c>
      <c r="E2" s="4" t="inlineStr">
        <is>
          <t>Hinged, double</t>
        </is>
      </c>
      <c r="F2" s="4" t="inlineStr">
        <is>
          <t>Teak panelled, double leaf</t>
        </is>
      </c>
      <c r="G2" s="8" t="inlineStr"/>
      <c r="H2" s="8" t="inlineStr"/>
    </row>
    <row r="3">
      <c r="A3" s="4" t="inlineStr">
        <is>
          <t>D02</t>
        </is>
      </c>
      <c r="B3" s="4" t="inlineStr">
        <is>
          <t>Service door, wet area</t>
        </is>
      </c>
      <c r="C3" s="4" t="n">
        <v>2</v>
      </c>
      <c r="D3" s="4" t="n">
        <v>7</v>
      </c>
      <c r="E3" s="4" t="inlineStr">
        <is>
          <t>Hinged, single</t>
        </is>
      </c>
      <c r="F3" s="4" t="inlineStr">
        <is>
          <t>Steel frame + grille, insect mesh</t>
        </is>
      </c>
      <c r="G3" s="8" t="inlineStr"/>
      <c r="H3" s="8" t="inlineStr"/>
    </row>
    <row r="4">
      <c r="A4" s="4" t="inlineStr">
        <is>
          <t>D03</t>
        </is>
      </c>
      <c r="B4" s="4" t="inlineStr">
        <is>
          <t>Office 2 to master</t>
        </is>
      </c>
      <c r="C4" s="4" t="n">
        <v>6</v>
      </c>
      <c r="D4" s="4" t="n">
        <v>7</v>
      </c>
      <c r="E4" s="4" t="inlineStr">
        <is>
          <t>Sliding</t>
        </is>
      </c>
      <c r="F4" s="4" t="inlineStr">
        <is>
          <t>Sliding, laminated glass + brush seals</t>
        </is>
      </c>
      <c r="G4" s="8" t="inlineStr"/>
      <c r="H4" s="8" t="inlineStr"/>
    </row>
    <row r="5">
      <c r="A5" s="4" t="inlineStr">
        <is>
          <t>D04</t>
        </is>
      </c>
      <c r="B5" s="4" t="inlineStr">
        <is>
          <t>Walk-in wardrobe</t>
        </is>
      </c>
      <c r="C5" s="4" t="n">
        <v>2.5</v>
      </c>
      <c r="D5" s="4" t="n">
        <v>7</v>
      </c>
      <c r="E5" s="4" t="inlineStr">
        <is>
          <t>Hinged, single</t>
        </is>
      </c>
      <c r="F5" s="4" t="inlineStr">
        <is>
          <t>Flush, teak veneer</t>
        </is>
      </c>
      <c r="G5" s="8" t="inlineStr"/>
      <c r="H5" s="8" t="inlineStr"/>
    </row>
    <row r="6">
      <c r="A6" s="4" t="inlineStr">
        <is>
          <t>D05</t>
        </is>
      </c>
      <c r="B6" s="4" t="inlineStr">
        <is>
          <t>Ensuite</t>
        </is>
      </c>
      <c r="C6" s="4" t="n">
        <v>2.5</v>
      </c>
      <c r="D6" s="4" t="n">
        <v>7</v>
      </c>
      <c r="E6" s="4" t="inlineStr">
        <is>
          <t>Hinged, single</t>
        </is>
      </c>
      <c r="F6" s="4" t="inlineStr">
        <is>
          <t>Flush, waterproof (WPC/FRP)</t>
        </is>
      </c>
      <c r="G6" s="8" t="inlineStr"/>
      <c r="H6" s="8" t="inlineStr"/>
    </row>
    <row r="7">
      <c r="A7" s="4" t="inlineStr">
        <is>
          <t>D06</t>
        </is>
      </c>
      <c r="B7" s="4" t="inlineStr">
        <is>
          <t>Master bedroom</t>
        </is>
      </c>
      <c r="C7" s="4" t="n">
        <v>2.5</v>
      </c>
      <c r="D7" s="4" t="n">
        <v>7</v>
      </c>
      <c r="E7" s="4" t="inlineStr">
        <is>
          <t>Hinged, single</t>
        </is>
      </c>
      <c r="F7" s="4" t="inlineStr">
        <is>
          <t>Flush, teak veneer</t>
        </is>
      </c>
      <c r="G7" s="8" t="inlineStr"/>
      <c r="H7" s="8" t="inlineStr"/>
    </row>
    <row r="8">
      <c r="A8" s="4" t="inlineStr">
        <is>
          <t>D07</t>
        </is>
      </c>
      <c r="B8" s="4" t="inlineStr">
        <is>
          <t>Office 1</t>
        </is>
      </c>
      <c r="C8" s="4" t="n">
        <v>2.5</v>
      </c>
      <c r="D8" s="4" t="n">
        <v>7</v>
      </c>
      <c r="E8" s="4" t="inlineStr">
        <is>
          <t>Hinged, single</t>
        </is>
      </c>
      <c r="F8" s="4" t="inlineStr">
        <is>
          <t>Solid-core, acoustic seals</t>
        </is>
      </c>
      <c r="G8" s="8" t="inlineStr"/>
      <c r="H8" s="8" t="inlineStr"/>
    </row>
    <row r="9">
      <c r="A9" s="4" t="inlineStr">
        <is>
          <t>D08</t>
        </is>
      </c>
      <c r="B9" s="4" t="inlineStr">
        <is>
          <t>Bath 2</t>
        </is>
      </c>
      <c r="C9" s="4" t="n">
        <v>2.5</v>
      </c>
      <c r="D9" s="4" t="n">
        <v>7</v>
      </c>
      <c r="E9" s="4" t="inlineStr">
        <is>
          <t>Hinged, single</t>
        </is>
      </c>
      <c r="F9" s="4" t="inlineStr">
        <is>
          <t>Flush, waterproof (WPC/FRP)</t>
        </is>
      </c>
      <c r="G9" s="8" t="inlineStr"/>
      <c r="H9" s="8" t="inlineStr"/>
    </row>
    <row r="10">
      <c r="A10" s="4" t="inlineStr">
        <is>
          <t>D09</t>
        </is>
      </c>
      <c r="B10" s="4" t="inlineStr">
        <is>
          <t>Store</t>
        </is>
      </c>
      <c r="C10" s="4" t="n">
        <v>2.5</v>
      </c>
      <c r="D10" s="4" t="n">
        <v>7</v>
      </c>
      <c r="E10" s="4" t="inlineStr">
        <is>
          <t>Hinged, single</t>
        </is>
      </c>
      <c r="F10" s="4" t="inlineStr">
        <is>
          <t>Flush, teak veneer</t>
        </is>
      </c>
      <c r="G10" s="8" t="inlineStr"/>
      <c r="H10" s="8" t="inlineStr"/>
    </row>
    <row r="11">
      <c r="A11" s="4" t="inlineStr">
        <is>
          <t>D10</t>
        </is>
      </c>
      <c r="B11" s="4" t="inlineStr">
        <is>
          <t>Bedroom 2</t>
        </is>
      </c>
      <c r="C11" s="4" t="n">
        <v>2.5</v>
      </c>
      <c r="D11" s="4" t="n">
        <v>7</v>
      </c>
      <c r="E11" s="4" t="inlineStr">
        <is>
          <t>Hinged, single</t>
        </is>
      </c>
      <c r="F11" s="4" t="inlineStr">
        <is>
          <t>Flush, teak veneer</t>
        </is>
      </c>
      <c r="G11" s="8" t="inlineStr"/>
      <c r="H11" s="8" t="inlineStr"/>
    </row>
    <row r="12">
      <c r="A12" s="4" t="inlineStr">
        <is>
          <t>D11</t>
        </is>
      </c>
      <c r="B12" s="4" t="inlineStr">
        <is>
          <t>Pooja</t>
        </is>
      </c>
      <c r="C12" s="4" t="n">
        <v>2.5</v>
      </c>
      <c r="D12" s="4" t="n">
        <v>7</v>
      </c>
      <c r="E12" s="4" t="inlineStr">
        <is>
          <t>Hinged, double</t>
        </is>
      </c>
      <c r="F12" s="4" t="inlineStr">
        <is>
          <t>Carved teak, double leaf</t>
        </is>
      </c>
      <c r="G12" s="8" t="inlineStr"/>
      <c r="H12" s="8" t="inlineStr"/>
    </row>
    <row r="13">
      <c r="A13" s="4" t="inlineStr">
        <is>
          <t>D12</t>
        </is>
      </c>
      <c r="B13" s="4" t="inlineStr">
        <is>
          <t>Kitchen to wet area</t>
        </is>
      </c>
      <c r="C13" s="4" t="n">
        <v>2.5</v>
      </c>
      <c r="D13" s="4" t="n">
        <v>7</v>
      </c>
      <c r="E13" s="4" t="inlineStr">
        <is>
          <t>Hinged, single</t>
        </is>
      </c>
      <c r="F13" s="4" t="inlineStr">
        <is>
          <t>Flush, waterproof (WPC/FRP)</t>
        </is>
      </c>
      <c r="G13" s="8" t="inlineStr"/>
      <c r="H13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0" customWidth="1" min="3" max="3"/>
    <col width="10" customWidth="1" min="4" max="4"/>
    <col width="9" customWidth="1" min="5" max="5"/>
    <col width="9" customWidth="1" min="6" max="6"/>
    <col width="10" customWidth="1" min="7" max="7"/>
    <col width="52" customWidth="1" min="8" max="8"/>
    <col width="14" customWidth="1" min="9" max="9"/>
  </cols>
  <sheetData>
    <row r="1" ht="30" customHeight="1">
      <c r="A1" s="3" t="inlineStr">
        <is>
          <t>ID</t>
        </is>
      </c>
      <c r="B1" s="3" t="inlineStr">
        <is>
          <t>Room</t>
        </is>
      </c>
      <c r="C1" s="3" t="inlineStr">
        <is>
          <t>Wall faces</t>
        </is>
      </c>
      <c r="D1" s="3" t="inlineStr">
        <is>
          <t>Width (ft)</t>
        </is>
      </c>
      <c r="E1" s="3" t="inlineStr">
        <is>
          <t>Sill (ft)</t>
        </is>
      </c>
      <c r="F1" s="3" t="inlineStr">
        <is>
          <t>Head (ft)</t>
        </is>
      </c>
      <c r="G1" s="3" t="inlineStr">
        <is>
          <t>Height (ft)</t>
        </is>
      </c>
      <c r="H1" s="3" t="inlineStr">
        <is>
          <t>Type</t>
        </is>
      </c>
      <c r="I1" s="3" t="inlineStr">
        <is>
          <t>Status</t>
        </is>
      </c>
    </row>
    <row r="2">
      <c r="A2" s="4" t="inlineStr">
        <is>
          <t>W01</t>
        </is>
      </c>
      <c r="B2" s="4" t="inlineStr">
        <is>
          <t>Office 2</t>
        </is>
      </c>
      <c r="C2" s="4" t="inlineStr">
        <is>
          <t>South</t>
        </is>
      </c>
      <c r="D2" s="9" t="n">
        <v>5</v>
      </c>
      <c r="E2" s="9" t="n">
        <v>3</v>
      </c>
      <c r="F2" s="9" t="n">
        <v>7</v>
      </c>
      <c r="G2" s="9">
        <f>F2-E2</f>
        <v/>
      </c>
      <c r="H2" s="4" t="inlineStr">
        <is>
          <t>Timber jali + glazed shutters</t>
        </is>
      </c>
      <c r="I2" s="8" t="inlineStr"/>
    </row>
    <row r="3">
      <c r="A3" s="4" t="inlineStr">
        <is>
          <t>W02</t>
        </is>
      </c>
      <c r="B3" s="4" t="inlineStr">
        <is>
          <t>Walk-in wardrobe</t>
        </is>
      </c>
      <c r="C3" s="4" t="inlineStr">
        <is>
          <t>South</t>
        </is>
      </c>
      <c r="D3" s="9" t="n">
        <v>3</v>
      </c>
      <c r="E3" s="9" t="n">
        <v>5</v>
      </c>
      <c r="F3" s="9" t="n">
        <v>7</v>
      </c>
      <c r="G3" s="9">
        <f>F3-E3</f>
        <v/>
      </c>
      <c r="H3" s="4" t="inlineStr">
        <is>
          <t>High vent, jali</t>
        </is>
      </c>
      <c r="I3" s="8" t="inlineStr"/>
    </row>
    <row r="4">
      <c r="A4" s="4" t="inlineStr">
        <is>
          <t>W03</t>
        </is>
      </c>
      <c r="B4" s="4" t="inlineStr">
        <is>
          <t>Office 1</t>
        </is>
      </c>
      <c r="C4" s="4" t="inlineStr">
        <is>
          <t>South</t>
        </is>
      </c>
      <c r="D4" s="9" t="n">
        <v>5</v>
      </c>
      <c r="E4" s="9" t="n">
        <v>3</v>
      </c>
      <c r="F4" s="9" t="n">
        <v>7</v>
      </c>
      <c r="G4" s="9">
        <f>F4-E4</f>
        <v/>
      </c>
      <c r="H4" s="4" t="inlineStr">
        <is>
          <t>Timber jali + glazed shutters</t>
        </is>
      </c>
      <c r="I4" s="8" t="inlineStr"/>
    </row>
    <row r="5">
      <c r="A5" s="4" t="inlineStr">
        <is>
          <t>W04</t>
        </is>
      </c>
      <c r="B5" s="4" t="inlineStr">
        <is>
          <t>Bath 2</t>
        </is>
      </c>
      <c r="C5" s="4" t="inlineStr">
        <is>
          <t>South</t>
        </is>
      </c>
      <c r="D5" s="9" t="n">
        <v>2</v>
      </c>
      <c r="E5" s="9" t="n">
        <v>5</v>
      </c>
      <c r="F5" s="9" t="n">
        <v>7</v>
      </c>
      <c r="G5" s="9">
        <f>F5-E5</f>
        <v/>
      </c>
      <c r="H5" s="4" t="inlineStr">
        <is>
          <t>High vent, frosted louvres</t>
        </is>
      </c>
      <c r="I5" s="8" t="inlineStr"/>
    </row>
    <row r="6">
      <c r="A6" s="4" t="inlineStr">
        <is>
          <t>W05</t>
        </is>
      </c>
      <c r="B6" s="4" t="inlineStr">
        <is>
          <t>Store</t>
        </is>
      </c>
      <c r="C6" s="4" t="inlineStr">
        <is>
          <t>South</t>
        </is>
      </c>
      <c r="D6" s="9" t="n">
        <v>3</v>
      </c>
      <c r="E6" s="9" t="n">
        <v>5</v>
      </c>
      <c r="F6" s="9" t="n">
        <v>7</v>
      </c>
      <c r="G6" s="9">
        <f>F6-E6</f>
        <v/>
      </c>
      <c r="H6" s="4" t="inlineStr">
        <is>
          <t>High vent, jali + mesh</t>
        </is>
      </c>
      <c r="I6" s="8" t="inlineStr"/>
    </row>
    <row r="7">
      <c r="A7" s="4" t="inlineStr">
        <is>
          <t>W06</t>
        </is>
      </c>
      <c r="B7" s="4" t="inlineStr">
        <is>
          <t>Wet area</t>
        </is>
      </c>
      <c r="C7" s="4" t="inlineStr">
        <is>
          <t>South</t>
        </is>
      </c>
      <c r="D7" s="9" t="n">
        <v>5.1</v>
      </c>
      <c r="E7" s="9" t="n">
        <v>0.4</v>
      </c>
      <c r="F7" s="9" t="n">
        <v>8</v>
      </c>
      <c r="G7" s="9">
        <f>F7-E7</f>
        <v/>
      </c>
      <c r="H7" s="4" t="inlineStr">
        <is>
          <t>Terracotta jali wall + insect mesh + MS grille</t>
        </is>
      </c>
      <c r="I7" s="8" t="inlineStr"/>
    </row>
    <row r="8">
      <c r="A8" s="4" t="inlineStr">
        <is>
          <t>W07</t>
        </is>
      </c>
      <c r="B8" s="4" t="inlineStr">
        <is>
          <t>Kitchen</t>
        </is>
      </c>
      <c r="C8" s="4" t="inlineStr">
        <is>
          <t>South</t>
        </is>
      </c>
      <c r="D8" s="9" t="n">
        <v>5</v>
      </c>
      <c r="E8" s="9" t="n">
        <v>3.5</v>
      </c>
      <c r="F8" s="9" t="n">
        <v>7</v>
      </c>
      <c r="G8" s="9">
        <f>F8-E8</f>
        <v/>
      </c>
      <c r="H8" s="4" t="inlineStr">
        <is>
          <t>Timber jali + glazed shutters</t>
        </is>
      </c>
      <c r="I8" s="8" t="inlineStr"/>
    </row>
    <row r="9">
      <c r="A9" s="4" t="inlineStr">
        <is>
          <t>W08</t>
        </is>
      </c>
      <c r="B9" s="4" t="inlineStr">
        <is>
          <t>Kitchen</t>
        </is>
      </c>
      <c r="C9" s="4" t="inlineStr">
        <is>
          <t>East</t>
        </is>
      </c>
      <c r="D9" s="9" t="n">
        <v>6</v>
      </c>
      <c r="E9" s="9" t="n">
        <v>3.5</v>
      </c>
      <c r="F9" s="9" t="n">
        <v>7</v>
      </c>
      <c r="G9" s="9">
        <f>F9-E9</f>
        <v/>
      </c>
      <c r="H9" s="4" t="inlineStr">
        <is>
          <t>Timber jali + glazed shutters</t>
        </is>
      </c>
      <c r="I9" s="8" t="inlineStr"/>
    </row>
    <row r="10">
      <c r="A10" s="4" t="inlineStr">
        <is>
          <t>W09</t>
        </is>
      </c>
      <c r="B10" s="4" t="inlineStr">
        <is>
          <t>Ensuite</t>
        </is>
      </c>
      <c r="C10" s="4" t="inlineStr">
        <is>
          <t>North</t>
        </is>
      </c>
      <c r="D10" s="9" t="n">
        <v>3</v>
      </c>
      <c r="E10" s="9" t="n">
        <v>5</v>
      </c>
      <c r="F10" s="9" t="n">
        <v>7</v>
      </c>
      <c r="G10" s="9">
        <f>F10-E10</f>
        <v/>
      </c>
      <c r="H10" s="4" t="inlineStr">
        <is>
          <t>Frosted casement</t>
        </is>
      </c>
      <c r="I10" s="8" t="inlineStr"/>
    </row>
    <row r="11">
      <c r="A11" s="4" t="inlineStr">
        <is>
          <t>W10</t>
        </is>
      </c>
      <c r="B11" s="4" t="inlineStr">
        <is>
          <t>Ensuite</t>
        </is>
      </c>
      <c r="C11" s="4" t="inlineStr">
        <is>
          <t>West</t>
        </is>
      </c>
      <c r="D11" s="9" t="n">
        <v>4</v>
      </c>
      <c r="E11" s="9" t="n">
        <v>5</v>
      </c>
      <c r="F11" s="9" t="n">
        <v>7</v>
      </c>
      <c r="G11" s="9">
        <f>F11-E11</f>
        <v/>
      </c>
      <c r="H11" s="4" t="inlineStr">
        <is>
          <t>High jali vent</t>
        </is>
      </c>
      <c r="I11" s="8" t="inlineStr"/>
    </row>
    <row r="12">
      <c r="A12" s="4" t="inlineStr">
        <is>
          <t>W11</t>
        </is>
      </c>
      <c r="B12" s="4" t="inlineStr">
        <is>
          <t>Master bedroom</t>
        </is>
      </c>
      <c r="C12" s="4" t="inlineStr">
        <is>
          <t>North</t>
        </is>
      </c>
      <c r="D12" s="9" t="n">
        <v>6</v>
      </c>
      <c r="E12" s="9" t="n">
        <v>3</v>
      </c>
      <c r="F12" s="9" t="n">
        <v>7</v>
      </c>
      <c r="G12" s="9">
        <f>F12-E12</f>
        <v/>
      </c>
      <c r="H12" s="4" t="inlineStr">
        <is>
          <t>Teak casement, glazed</t>
        </is>
      </c>
      <c r="I12" s="8" t="inlineStr"/>
    </row>
    <row r="13">
      <c r="A13" s="4" t="inlineStr">
        <is>
          <t>W12</t>
        </is>
      </c>
      <c r="B13" s="4" t="inlineStr">
        <is>
          <t>Bedroom 2</t>
        </is>
      </c>
      <c r="C13" s="4" t="inlineStr">
        <is>
          <t>North</t>
        </is>
      </c>
      <c r="D13" s="9" t="n">
        <v>6</v>
      </c>
      <c r="E13" s="9" t="n">
        <v>3</v>
      </c>
      <c r="F13" s="9" t="n">
        <v>7</v>
      </c>
      <c r="G13" s="9">
        <f>F13-E13</f>
        <v/>
      </c>
      <c r="H13" s="4" t="inlineStr">
        <is>
          <t>Teak casement, glazed</t>
        </is>
      </c>
      <c r="I13" s="8" t="inlineStr"/>
    </row>
    <row r="14">
      <c r="A14" s="4" t="inlineStr">
        <is>
          <t>W13</t>
        </is>
      </c>
      <c r="B14" s="4" t="inlineStr">
        <is>
          <t>Pooja</t>
        </is>
      </c>
      <c r="C14" s="4" t="inlineStr">
        <is>
          <t>North</t>
        </is>
      </c>
      <c r="D14" s="9" t="n">
        <v>3</v>
      </c>
      <c r="E14" s="9" t="n">
        <v>4</v>
      </c>
      <c r="F14" s="9" t="n">
        <v>7</v>
      </c>
      <c r="G14" s="9">
        <f>F14-E14</f>
        <v/>
      </c>
      <c r="H14" s="4" t="inlineStr">
        <is>
          <t>Teak casement, glazed</t>
        </is>
      </c>
      <c r="I14" s="8" t="inlineStr"/>
    </row>
    <row r="15">
      <c r="A15" s="4" t="inlineStr">
        <is>
          <t>W14</t>
        </is>
      </c>
      <c r="B15" s="4" t="inlineStr">
        <is>
          <t>Living</t>
        </is>
      </c>
      <c r="C15" s="4" t="inlineStr">
        <is>
          <t>North</t>
        </is>
      </c>
      <c r="D15" s="9" t="n">
        <v>8</v>
      </c>
      <c r="E15" s="9" t="n">
        <v>2</v>
      </c>
      <c r="F15" s="9" t="n">
        <v>8</v>
      </c>
      <c r="G15" s="9">
        <f>F15-E15</f>
        <v/>
      </c>
      <c r="H15" s="4" t="inlineStr">
        <is>
          <t>Teak casement, tall, glazed</t>
        </is>
      </c>
      <c r="I15" s="8" t="inlineStr"/>
    </row>
    <row r="16">
      <c r="A16" s="4" t="inlineStr">
        <is>
          <t>W15</t>
        </is>
      </c>
      <c r="B16" s="4" t="inlineStr">
        <is>
          <t>Living</t>
        </is>
      </c>
      <c r="C16" s="4" t="inlineStr">
        <is>
          <t>East (to verandah)</t>
        </is>
      </c>
      <c r="D16" s="9" t="n">
        <v>4</v>
      </c>
      <c r="E16" s="9" t="n">
        <v>3</v>
      </c>
      <c r="F16" s="9" t="n">
        <v>7</v>
      </c>
      <c r="G16" s="9">
        <f>F16-E16</f>
        <v/>
      </c>
      <c r="H16" s="4" t="inlineStr">
        <is>
          <t>Teak casement onto poomukham (morning light)</t>
        </is>
      </c>
      <c r="I16" s="8" t="inlineStr"/>
    </row>
    <row r="17">
      <c r="A17" s="4" t="inlineStr">
        <is>
          <t>SK1</t>
        </is>
      </c>
      <c r="B17" s="4" t="inlineStr">
        <is>
          <t>Roof</t>
        </is>
      </c>
      <c r="C17" s="4" t="inlineStr">
        <is>
          <t>Up</t>
        </is>
      </c>
      <c r="D17" s="9" t="inlineStr"/>
      <c r="E17" s="9" t="inlineStr"/>
      <c r="F17" s="9" t="inlineStr"/>
      <c r="G17" s="9" t="inlineStr"/>
      <c r="H17" s="4" t="inlineStr">
        <is>
          <t>Skylight lantern over dining, 5 x 5 ft, louvred upstand, openable top vent, heat-reflective laminated glass</t>
        </is>
      </c>
      <c r="I17" s="8" t="inlineStr"/>
    </row>
    <row r="18">
      <c r="A18" s="4" t="inlineStr">
        <is>
          <t>GV1-3</t>
        </is>
      </c>
      <c r="B18" s="4" t="inlineStr">
        <is>
          <t>Roof</t>
        </is>
      </c>
      <c r="C18" s="4" t="inlineStr">
        <is>
          <t>Up</t>
        </is>
      </c>
      <c r="D18" s="9" t="inlineStr"/>
      <c r="E18" s="9" t="inlineStr"/>
      <c r="F18" s="9" t="inlineStr"/>
      <c r="G18" s="9" t="inlineStr"/>
      <c r="H18" s="4" t="inlineStr">
        <is>
          <t>Three glazed/jali vents in front gable (mukhappu), morning light into living</t>
        </is>
      </c>
      <c r="I18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34" customWidth="1" min="3" max="3"/>
    <col width="18" customWidth="1" min="4" max="4"/>
    <col width="9" customWidth="1" min="5" max="5"/>
    <col width="9" customWidth="1" min="6" max="6"/>
    <col width="6" customWidth="1" min="7" max="7"/>
    <col width="34" customWidth="1" min="8" max="8"/>
    <col width="14" customWidth="1" min="9" max="9"/>
    <col width="14" customWidth="1" min="10" max="10"/>
    <col width="26" customWidth="1" min="11" max="11"/>
    <col width="12" customWidth="1" min="12" max="12"/>
  </cols>
  <sheetData>
    <row r="1" ht="30" customHeight="1">
      <c r="A1" s="3" t="inlineStr">
        <is>
          <t>ID</t>
        </is>
      </c>
      <c r="B1" s="3" t="inlineStr">
        <is>
          <t>Room</t>
        </is>
      </c>
      <c r="C1" s="3" t="inlineStr">
        <is>
          <t>Item</t>
        </is>
      </c>
      <c r="D1" s="3" t="inlineStr">
        <is>
          <t>Category</t>
        </is>
      </c>
      <c r="E1" s="3" t="inlineStr">
        <is>
          <t>E-W (ft)</t>
        </is>
      </c>
      <c r="F1" s="3" t="inlineStr">
        <is>
          <t>N-S (ft)</t>
        </is>
      </c>
      <c r="G1" s="3" t="inlineStr">
        <is>
          <t>Qty</t>
        </is>
      </c>
      <c r="H1" s="3" t="inlineStr">
        <is>
          <t>Material / spec</t>
        </is>
      </c>
      <c r="I1" s="3" t="inlineStr">
        <is>
          <t>Est. unit cost (Rs)</t>
        </is>
      </c>
      <c r="J1" s="3" t="inlineStr">
        <is>
          <t>Line total (Rs)</t>
        </is>
      </c>
      <c r="K1" s="3" t="inlineStr">
        <is>
          <t>Chosen product / vendor</t>
        </is>
      </c>
      <c r="L1" s="3" t="inlineStr">
        <is>
          <t>Status</t>
        </is>
      </c>
    </row>
    <row r="2">
      <c r="A2" s="4" t="inlineStr">
        <is>
          <t>F01</t>
        </is>
      </c>
      <c r="B2" s="4" t="inlineStr">
        <is>
          <t>Office 2</t>
        </is>
      </c>
      <c r="C2" s="4" t="inlineStr">
        <is>
          <t>Work desk 5'6" x 2'</t>
        </is>
      </c>
      <c r="D2" s="4" t="inlineStr">
        <is>
          <t>Loose furniture</t>
        </is>
      </c>
      <c r="E2" s="4" t="n">
        <v>1.9</v>
      </c>
      <c r="F2" s="4" t="n">
        <v>5.5</v>
      </c>
      <c r="G2" s="4" t="n">
        <v>1</v>
      </c>
      <c r="H2" s="4" t="inlineStr">
        <is>
          <t>Teak or ply + veneer, cable tray</t>
        </is>
      </c>
      <c r="I2" s="10" t="n"/>
      <c r="J2" s="11">
        <f>G2*I2</f>
        <v/>
      </c>
      <c r="K2" s="8" t="inlineStr"/>
      <c r="L2" s="8" t="inlineStr"/>
    </row>
    <row r="3">
      <c r="A3" s="4" t="inlineStr">
        <is>
          <t>F02</t>
        </is>
      </c>
      <c r="B3" s="4" t="inlineStr">
        <is>
          <t>Office 2</t>
        </is>
      </c>
      <c r="C3" s="4" t="inlineStr">
        <is>
          <t>Ergonomic task chair</t>
        </is>
      </c>
      <c r="D3" s="4" t="inlineStr">
        <is>
          <t>Loose furniture</t>
        </is>
      </c>
      <c r="E3" s="4" t="n">
        <v>1.2</v>
      </c>
      <c r="F3" s="4" t="n">
        <v>1.2</v>
      </c>
      <c r="G3" s="4" t="n">
        <v>1</v>
      </c>
      <c r="H3" s="4" t="inlineStr">
        <is>
          <t>Mesh back</t>
        </is>
      </c>
      <c r="I3" s="10" t="n"/>
      <c r="J3" s="11">
        <f>G3*I3</f>
        <v/>
      </c>
      <c r="K3" s="8" t="inlineStr"/>
      <c r="L3" s="8" t="inlineStr"/>
    </row>
    <row r="4">
      <c r="A4" s="4" t="inlineStr">
        <is>
          <t>F03</t>
        </is>
      </c>
      <c r="B4" s="4" t="inlineStr">
        <is>
          <t>Office 2</t>
        </is>
      </c>
      <c r="C4" s="4" t="inlineStr">
        <is>
          <t>Bookshelf, full height (video backdrop)</t>
        </is>
      </c>
      <c r="D4" s="4" t="inlineStr">
        <is>
          <t>Built-in joinery</t>
        </is>
      </c>
      <c r="E4" s="4" t="n">
        <v>1.2</v>
      </c>
      <c r="F4" s="4" t="n">
        <v>7</v>
      </c>
      <c r="G4" s="4" t="n">
        <v>1</v>
      </c>
      <c r="H4" s="4" t="inlineStr">
        <is>
          <t>Teak / ply, open shelves</t>
        </is>
      </c>
      <c r="I4" s="10" t="n"/>
      <c r="J4" s="11">
        <f>G4*I4</f>
        <v/>
      </c>
      <c r="K4" s="8" t="inlineStr"/>
      <c r="L4" s="8" t="inlineStr"/>
    </row>
    <row r="5">
      <c r="A5" s="4" t="inlineStr">
        <is>
          <t>F04</t>
        </is>
      </c>
      <c r="B5" s="4" t="inlineStr">
        <is>
          <t>Walk-in wardrobe</t>
        </is>
      </c>
      <c r="C5" s="4" t="inlineStr">
        <is>
          <t>Wardrobe run, south wall</t>
        </is>
      </c>
      <c r="D5" s="4" t="inlineStr">
        <is>
          <t>Built-in joinery</t>
        </is>
      </c>
      <c r="E5" s="4" t="n">
        <v>6.4</v>
      </c>
      <c r="F5" s="4" t="n">
        <v>2</v>
      </c>
      <c r="G5" s="4" t="n">
        <v>1</v>
      </c>
      <c r="H5" s="4" t="inlineStr">
        <is>
          <t>Ply + laminate, 2 ft deep</t>
        </is>
      </c>
      <c r="I5" s="10" t="n"/>
      <c r="J5" s="11">
        <f>G5*I5</f>
        <v/>
      </c>
      <c r="K5" s="8" t="inlineStr"/>
      <c r="L5" s="8" t="inlineStr"/>
    </row>
    <row r="6">
      <c r="A6" s="4" t="inlineStr">
        <is>
          <t>F05</t>
        </is>
      </c>
      <c r="B6" s="4" t="inlineStr">
        <is>
          <t>Walk-in wardrobe</t>
        </is>
      </c>
      <c r="C6" s="4" t="inlineStr">
        <is>
          <t>Wardrobe run, east wall</t>
        </is>
      </c>
      <c r="D6" s="4" t="inlineStr">
        <is>
          <t>Built-in joinery</t>
        </is>
      </c>
      <c r="E6" s="4" t="n">
        <v>1.7</v>
      </c>
      <c r="F6" s="4" t="n">
        <v>5.2</v>
      </c>
      <c r="G6" s="4" t="n">
        <v>1</v>
      </c>
      <c r="H6" s="4" t="inlineStr">
        <is>
          <t>Ply + laminate</t>
        </is>
      </c>
      <c r="I6" s="10" t="n"/>
      <c r="J6" s="11">
        <f>G6*I6</f>
        <v/>
      </c>
      <c r="K6" s="8" t="inlineStr"/>
      <c r="L6" s="8" t="inlineStr"/>
    </row>
    <row r="7">
      <c r="A7" s="4" t="inlineStr">
        <is>
          <t>F06</t>
        </is>
      </c>
      <c r="B7" s="4" t="inlineStr">
        <is>
          <t>Dressing alcove</t>
        </is>
      </c>
      <c r="C7" s="4" t="inlineStr">
        <is>
          <t>Dresser with mirror</t>
        </is>
      </c>
      <c r="D7" s="4" t="inlineStr">
        <is>
          <t>Loose furniture</t>
        </is>
      </c>
      <c r="E7" s="4" t="n">
        <v>1.5</v>
      </c>
      <c r="F7" s="4" t="n">
        <v>4</v>
      </c>
      <c r="G7" s="4" t="n">
        <v>1</v>
      </c>
      <c r="H7" s="4" t="inlineStr">
        <is>
          <t>Teak</t>
        </is>
      </c>
      <c r="I7" s="10" t="n"/>
      <c r="J7" s="11">
        <f>G7*I7</f>
        <v/>
      </c>
      <c r="K7" s="8" t="inlineStr"/>
      <c r="L7" s="8" t="inlineStr"/>
    </row>
    <row r="8">
      <c r="A8" s="4" t="inlineStr">
        <is>
          <t>F07</t>
        </is>
      </c>
      <c r="B8" s="4" t="inlineStr">
        <is>
          <t>Ensuite</t>
        </is>
      </c>
      <c r="C8" s="4" t="inlineStr">
        <is>
          <t>Vanity basin counter</t>
        </is>
      </c>
      <c r="D8" s="4" t="inlineStr">
        <is>
          <t>Sanitary / plumbing</t>
        </is>
      </c>
      <c r="E8" s="4" t="n">
        <v>2.5</v>
      </c>
      <c r="F8" s="4" t="n">
        <v>1.5</v>
      </c>
      <c r="G8" s="4" t="n">
        <v>1</v>
      </c>
      <c r="H8" s="4" t="inlineStr">
        <is>
          <t>Granite top, wall-hung</t>
        </is>
      </c>
      <c r="I8" s="10" t="n"/>
      <c r="J8" s="11">
        <f>G8*I8</f>
        <v/>
      </c>
      <c r="K8" s="8" t="inlineStr"/>
      <c r="L8" s="8" t="inlineStr"/>
    </row>
    <row r="9">
      <c r="A9" s="4" t="inlineStr">
        <is>
          <t>F08</t>
        </is>
      </c>
      <c r="B9" s="4" t="inlineStr">
        <is>
          <t>Ensuite</t>
        </is>
      </c>
      <c r="C9" s="4" t="inlineStr">
        <is>
          <t>WC (EWC)</t>
        </is>
      </c>
      <c r="D9" s="4" t="inlineStr">
        <is>
          <t>Sanitary / plumbing</t>
        </is>
      </c>
      <c r="E9" s="4" t="n">
        <v>1.8</v>
      </c>
      <c r="F9" s="4" t="n">
        <v>1.2</v>
      </c>
      <c r="G9" s="4" t="n">
        <v>1</v>
      </c>
      <c r="H9" s="4" t="inlineStr">
        <is>
          <t>Wall-hung, concealed cistern</t>
        </is>
      </c>
      <c r="I9" s="10" t="n"/>
      <c r="J9" s="11">
        <f>G9*I9</f>
        <v/>
      </c>
      <c r="K9" s="8" t="inlineStr"/>
      <c r="L9" s="8" t="inlineStr"/>
    </row>
    <row r="10">
      <c r="A10" s="4" t="inlineStr">
        <is>
          <t>F09</t>
        </is>
      </c>
      <c r="B10" s="4" t="inlineStr">
        <is>
          <t>Ensuite</t>
        </is>
      </c>
      <c r="C10" s="4" t="inlineStr">
        <is>
          <t>Shower glass partition</t>
        </is>
      </c>
      <c r="D10" s="4" t="inlineStr">
        <is>
          <t>Sanitary / plumbing</t>
        </is>
      </c>
      <c r="E10" s="4" t="n">
        <v>4.4</v>
      </c>
      <c r="F10" s="4" t="n">
        <v>0.2</v>
      </c>
      <c r="G10" s="4" t="n">
        <v>1</v>
      </c>
      <c r="H10" s="4" t="inlineStr">
        <is>
          <t>8 mm toughened glass</t>
        </is>
      </c>
      <c r="I10" s="10" t="n"/>
      <c r="J10" s="11">
        <f>G10*I10</f>
        <v/>
      </c>
      <c r="K10" s="8" t="inlineStr"/>
      <c r="L10" s="8" t="inlineStr"/>
    </row>
    <row r="11">
      <c r="A11" s="4" t="inlineStr">
        <is>
          <t>F10</t>
        </is>
      </c>
      <c r="B11" s="4" t="inlineStr">
        <is>
          <t>Master bedroom</t>
        </is>
      </c>
      <c r="C11" s="4" t="inlineStr">
        <is>
          <t>Queen bed 5' x 6'6" + headboard</t>
        </is>
      </c>
      <c r="D11" s="4" t="inlineStr">
        <is>
          <t>Loose furniture</t>
        </is>
      </c>
      <c r="E11" s="4" t="n">
        <v>6.4</v>
      </c>
      <c r="F11" s="4" t="n">
        <v>5</v>
      </c>
      <c r="G11" s="4" t="n">
        <v>1</v>
      </c>
      <c r="H11" s="4" t="inlineStr">
        <is>
          <t>Teak, head to east</t>
        </is>
      </c>
      <c r="I11" s="10" t="n"/>
      <c r="J11" s="11">
        <f>G11*I11</f>
        <v/>
      </c>
      <c r="K11" s="8" t="inlineStr"/>
      <c r="L11" s="8" t="inlineStr"/>
    </row>
    <row r="12">
      <c r="A12" s="4" t="inlineStr">
        <is>
          <t>F11</t>
        </is>
      </c>
      <c r="B12" s="4" t="inlineStr">
        <is>
          <t>Master bedroom</t>
        </is>
      </c>
      <c r="C12" s="4" t="inlineStr">
        <is>
          <t>Bedside table</t>
        </is>
      </c>
      <c r="D12" s="4" t="inlineStr">
        <is>
          <t>Loose furniture</t>
        </is>
      </c>
      <c r="E12" s="4" t="n">
        <v>1</v>
      </c>
      <c r="F12" s="4" t="n">
        <v>1.1</v>
      </c>
      <c r="G12" s="4" t="n">
        <v>2</v>
      </c>
      <c r="H12" s="4" t="inlineStr">
        <is>
          <t>Teak</t>
        </is>
      </c>
      <c r="I12" s="10" t="n"/>
      <c r="J12" s="11">
        <f>G12*I12</f>
        <v/>
      </c>
      <c r="K12" s="8" t="inlineStr"/>
      <c r="L12" s="8" t="inlineStr"/>
    </row>
    <row r="13">
      <c r="A13" s="4" t="inlineStr">
        <is>
          <t>F12</t>
        </is>
      </c>
      <c r="B13" s="4" t="inlineStr">
        <is>
          <t>Master bedroom</t>
        </is>
      </c>
      <c r="C13" s="4" t="inlineStr">
        <is>
          <t>Reading chair</t>
        </is>
      </c>
      <c r="D13" s="4" t="inlineStr">
        <is>
          <t>Loose furniture</t>
        </is>
      </c>
      <c r="E13" s="4" t="n">
        <v>1.4</v>
      </c>
      <c r="F13" s="4" t="n">
        <v>1.4</v>
      </c>
      <c r="G13" s="4" t="n">
        <v>1</v>
      </c>
      <c r="H13" s="4" t="inlineStr">
        <is>
          <t>Cane / upholstered</t>
        </is>
      </c>
      <c r="I13" s="10" t="n"/>
      <c r="J13" s="11">
        <f>G13*I13</f>
        <v/>
      </c>
      <c r="K13" s="8" t="inlineStr"/>
      <c r="L13" s="8" t="inlineStr"/>
    </row>
    <row r="14">
      <c r="A14" s="4" t="inlineStr">
        <is>
          <t>F13</t>
        </is>
      </c>
      <c r="B14" s="4" t="inlineStr">
        <is>
          <t>Office 1</t>
        </is>
      </c>
      <c r="C14" s="4" t="inlineStr">
        <is>
          <t>Work desk 5'6" x 2'</t>
        </is>
      </c>
      <c r="D14" s="4" t="inlineStr">
        <is>
          <t>Loose furniture</t>
        </is>
      </c>
      <c r="E14" s="4" t="n">
        <v>1.9</v>
      </c>
      <c r="F14" s="4" t="n">
        <v>5.5</v>
      </c>
      <c r="G14" s="4" t="n">
        <v>1</v>
      </c>
      <c r="H14" s="4" t="inlineStr">
        <is>
          <t>Teak or ply + veneer, cable tray</t>
        </is>
      </c>
      <c r="I14" s="10" t="n"/>
      <c r="J14" s="11">
        <f>G14*I14</f>
        <v/>
      </c>
      <c r="K14" s="8" t="inlineStr"/>
      <c r="L14" s="8" t="inlineStr"/>
    </row>
    <row r="15">
      <c r="A15" s="4" t="inlineStr">
        <is>
          <t>F14</t>
        </is>
      </c>
      <c r="B15" s="4" t="inlineStr">
        <is>
          <t>Office 1</t>
        </is>
      </c>
      <c r="C15" s="4" t="inlineStr">
        <is>
          <t>Ergonomic task chair</t>
        </is>
      </c>
      <c r="D15" s="4" t="inlineStr">
        <is>
          <t>Loose furniture</t>
        </is>
      </c>
      <c r="E15" s="4" t="n">
        <v>1.2</v>
      </c>
      <c r="F15" s="4" t="n">
        <v>1.2</v>
      </c>
      <c r="G15" s="4" t="n">
        <v>1</v>
      </c>
      <c r="H15" s="4" t="inlineStr">
        <is>
          <t>Mesh back</t>
        </is>
      </c>
      <c r="I15" s="10" t="n"/>
      <c r="J15" s="11">
        <f>G15*I15</f>
        <v/>
      </c>
      <c r="K15" s="8" t="inlineStr"/>
      <c r="L15" s="8" t="inlineStr"/>
    </row>
    <row r="16">
      <c r="A16" s="4" t="inlineStr">
        <is>
          <t>F15</t>
        </is>
      </c>
      <c r="B16" s="4" t="inlineStr">
        <is>
          <t>Office 1</t>
        </is>
      </c>
      <c r="C16" s="4" t="inlineStr">
        <is>
          <t>Bookshelf (video backdrop)</t>
        </is>
      </c>
      <c r="D16" s="4" t="inlineStr">
        <is>
          <t>Built-in joinery</t>
        </is>
      </c>
      <c r="E16" s="4" t="n">
        <v>1</v>
      </c>
      <c r="F16" s="4" t="n">
        <v>6</v>
      </c>
      <c r="G16" s="4" t="n">
        <v>1</v>
      </c>
      <c r="H16" s="4" t="inlineStr">
        <is>
          <t>Teak / ply</t>
        </is>
      </c>
      <c r="I16" s="10" t="n"/>
      <c r="J16" s="11">
        <f>G16*I16</f>
        <v/>
      </c>
      <c r="K16" s="8" t="inlineStr"/>
      <c r="L16" s="8" t="inlineStr"/>
    </row>
    <row r="17">
      <c r="A17" s="4" t="inlineStr">
        <is>
          <t>F16</t>
        </is>
      </c>
      <c r="B17" s="4" t="inlineStr">
        <is>
          <t>Bath 2</t>
        </is>
      </c>
      <c r="C17" s="4" t="inlineStr">
        <is>
          <t>WC (EWC)</t>
        </is>
      </c>
      <c r="D17" s="4" t="inlineStr">
        <is>
          <t>Sanitary / plumbing</t>
        </is>
      </c>
      <c r="E17" s="4" t="n">
        <v>1.4</v>
      </c>
      <c r="F17" s="4" t="n">
        <v>1.2</v>
      </c>
      <c r="G17" s="4" t="n">
        <v>1</v>
      </c>
      <c r="H17" s="4" t="inlineStr">
        <is>
          <t>Wall-hung, concealed cistern</t>
        </is>
      </c>
      <c r="I17" s="10" t="n"/>
      <c r="J17" s="11">
        <f>G17*I17</f>
        <v/>
      </c>
      <c r="K17" s="8" t="inlineStr"/>
      <c r="L17" s="8" t="inlineStr"/>
    </row>
    <row r="18">
      <c r="A18" s="4" t="inlineStr">
        <is>
          <t>F17</t>
        </is>
      </c>
      <c r="B18" s="4" t="inlineStr">
        <is>
          <t>Bath 2</t>
        </is>
      </c>
      <c r="C18" s="4" t="inlineStr">
        <is>
          <t>Wash basin</t>
        </is>
      </c>
      <c r="D18" s="4" t="inlineStr">
        <is>
          <t>Sanitary / plumbing</t>
        </is>
      </c>
      <c r="E18" s="4" t="n">
        <v>2</v>
      </c>
      <c r="F18" s="4" t="n">
        <v>0.7</v>
      </c>
      <c r="G18" s="4" t="n">
        <v>1</v>
      </c>
      <c r="H18" s="4" t="inlineStr">
        <is>
          <t>Wall-hung</t>
        </is>
      </c>
      <c r="I18" s="10" t="n"/>
      <c r="J18" s="11">
        <f>G18*I18</f>
        <v/>
      </c>
      <c r="K18" s="8" t="inlineStr"/>
      <c r="L18" s="8" t="inlineStr"/>
    </row>
    <row r="19">
      <c r="A19" s="4" t="inlineStr">
        <is>
          <t>F18</t>
        </is>
      </c>
      <c r="B19" s="4" t="inlineStr">
        <is>
          <t>Bath 2</t>
        </is>
      </c>
      <c r="C19" s="4" t="inlineStr">
        <is>
          <t>Shower glass partition</t>
        </is>
      </c>
      <c r="D19" s="4" t="inlineStr">
        <is>
          <t>Sanitary / plumbing</t>
        </is>
      </c>
      <c r="E19" s="4" t="n">
        <v>2.7</v>
      </c>
      <c r="F19" s="4" t="n">
        <v>0.2</v>
      </c>
      <c r="G19" s="4" t="n">
        <v>1</v>
      </c>
      <c r="H19" s="4" t="inlineStr">
        <is>
          <t>8 mm toughened glass</t>
        </is>
      </c>
      <c r="I19" s="10" t="n"/>
      <c r="J19" s="11">
        <f>G19*I19</f>
        <v/>
      </c>
      <c r="K19" s="8" t="inlineStr"/>
      <c r="L19" s="8" t="inlineStr"/>
    </row>
    <row r="20">
      <c r="A20" s="4" t="inlineStr">
        <is>
          <t>F19</t>
        </is>
      </c>
      <c r="B20" s="4" t="inlineStr">
        <is>
          <t>Bath 2</t>
        </is>
      </c>
      <c r="C20" s="4" t="inlineStr">
        <is>
          <t>Linen cupboard (acoustic buffer)</t>
        </is>
      </c>
      <c r="D20" s="4" t="inlineStr">
        <is>
          <t>Built-in joinery</t>
        </is>
      </c>
      <c r="E20" s="4" t="n">
        <v>2.2</v>
      </c>
      <c r="F20" s="4" t="n">
        <v>1.7</v>
      </c>
      <c r="G20" s="4" t="n">
        <v>1</v>
      </c>
      <c r="H20" s="4" t="inlineStr">
        <is>
          <t>Ply + laminate</t>
        </is>
      </c>
      <c r="I20" s="10" t="n"/>
      <c r="J20" s="11">
        <f>G20*I20</f>
        <v/>
      </c>
      <c r="K20" s="8" t="inlineStr"/>
      <c r="L20" s="8" t="inlineStr"/>
    </row>
    <row r="21">
      <c r="A21" s="4" t="inlineStr">
        <is>
          <t>F20</t>
        </is>
      </c>
      <c r="B21" s="4" t="inlineStr">
        <is>
          <t>Bedroom 2</t>
        </is>
      </c>
      <c r="C21" s="4" t="inlineStr">
        <is>
          <t>Queen bed 5' x 6'6" (or 4'6" double)</t>
        </is>
      </c>
      <c r="D21" s="4" t="inlineStr">
        <is>
          <t>Loose furniture</t>
        </is>
      </c>
      <c r="E21" s="4" t="n">
        <v>5</v>
      </c>
      <c r="F21" s="4" t="n">
        <v>6.6</v>
      </c>
      <c r="G21" s="4" t="n">
        <v>1</v>
      </c>
      <c r="H21" s="4" t="inlineStr">
        <is>
          <t>Teak, head to south</t>
        </is>
      </c>
      <c r="I21" s="10" t="n"/>
      <c r="J21" s="11">
        <f>G21*I21</f>
        <v/>
      </c>
      <c r="K21" s="8" t="inlineStr"/>
      <c r="L21" s="8" t="inlineStr"/>
    </row>
    <row r="22">
      <c r="A22" s="4" t="inlineStr">
        <is>
          <t>F21</t>
        </is>
      </c>
      <c r="B22" s="4" t="inlineStr">
        <is>
          <t>Bedroom 2</t>
        </is>
      </c>
      <c r="C22" s="4" t="inlineStr">
        <is>
          <t>Bedside table</t>
        </is>
      </c>
      <c r="D22" s="4" t="inlineStr">
        <is>
          <t>Loose furniture</t>
        </is>
      </c>
      <c r="E22" s="4" t="n">
        <v>1.1</v>
      </c>
      <c r="F22" s="4" t="n">
        <v>1.1</v>
      </c>
      <c r="G22" s="4" t="n">
        <v>1</v>
      </c>
      <c r="H22" s="4" t="inlineStr">
        <is>
          <t>Teak</t>
        </is>
      </c>
      <c r="I22" s="10" t="n"/>
      <c r="J22" s="11">
        <f>G22*I22</f>
        <v/>
      </c>
      <c r="K22" s="8" t="inlineStr"/>
      <c r="L22" s="8" t="inlineStr"/>
    </row>
    <row r="23">
      <c r="A23" s="4" t="inlineStr">
        <is>
          <t>F22</t>
        </is>
      </c>
      <c r="B23" s="4" t="inlineStr">
        <is>
          <t>Bedroom 2</t>
        </is>
      </c>
      <c r="C23" s="4" t="inlineStr">
        <is>
          <t>Study desk 5'</t>
        </is>
      </c>
      <c r="D23" s="4" t="inlineStr">
        <is>
          <t>Loose furniture</t>
        </is>
      </c>
      <c r="E23" s="4" t="n">
        <v>5</v>
      </c>
      <c r="F23" s="4" t="n">
        <v>1.4</v>
      </c>
      <c r="G23" s="4" t="n">
        <v>1</v>
      </c>
      <c r="H23" s="4" t="inlineStr">
        <is>
          <t>Teak / ply</t>
        </is>
      </c>
      <c r="I23" s="10" t="n"/>
      <c r="J23" s="11">
        <f>G23*I23</f>
        <v/>
      </c>
      <c r="K23" s="8" t="inlineStr"/>
      <c r="L23" s="8" t="inlineStr"/>
    </row>
    <row r="24">
      <c r="A24" s="4" t="inlineStr">
        <is>
          <t>F23</t>
        </is>
      </c>
      <c r="B24" s="4" t="inlineStr">
        <is>
          <t>Bedroom 2</t>
        </is>
      </c>
      <c r="C24" s="4" t="inlineStr">
        <is>
          <t>Built-in wardrobe 6'</t>
        </is>
      </c>
      <c r="D24" s="4" t="inlineStr">
        <is>
          <t>Built-in joinery</t>
        </is>
      </c>
      <c r="E24" s="4" t="n">
        <v>2</v>
      </c>
      <c r="F24" s="4" t="n">
        <v>6</v>
      </c>
      <c r="G24" s="4" t="n">
        <v>1</v>
      </c>
      <c r="H24" s="4" t="inlineStr">
        <is>
          <t>Ply + laminate, buffer to pooja</t>
        </is>
      </c>
      <c r="I24" s="10" t="n"/>
      <c r="J24" s="11">
        <f>G24*I24</f>
        <v/>
      </c>
      <c r="K24" s="8" t="inlineStr"/>
      <c r="L24" s="8" t="inlineStr"/>
    </row>
    <row r="25">
      <c r="A25" s="4" t="inlineStr">
        <is>
          <t>F24</t>
        </is>
      </c>
      <c r="B25" s="4" t="inlineStr">
        <is>
          <t>Dining (skylit)</t>
        </is>
      </c>
      <c r="C25" s="4" t="inlineStr">
        <is>
          <t>Dining table 5' x 3', 6-seat</t>
        </is>
      </c>
      <c r="D25" s="4" t="inlineStr">
        <is>
          <t>Loose furniture</t>
        </is>
      </c>
      <c r="E25" s="4" t="n">
        <v>5</v>
      </c>
      <c r="F25" s="4" t="n">
        <v>3</v>
      </c>
      <c r="G25" s="4" t="n">
        <v>1</v>
      </c>
      <c r="H25" s="4" t="inlineStr">
        <is>
          <t>Teak or rosewood</t>
        </is>
      </c>
      <c r="I25" s="10" t="n"/>
      <c r="J25" s="11">
        <f>G25*I25</f>
        <v/>
      </c>
      <c r="K25" s="8" t="inlineStr"/>
      <c r="L25" s="8" t="inlineStr"/>
    </row>
    <row r="26">
      <c r="A26" s="4" t="inlineStr">
        <is>
          <t>F25</t>
        </is>
      </c>
      <c r="B26" s="4" t="inlineStr">
        <is>
          <t>Dining (skylit)</t>
        </is>
      </c>
      <c r="C26" s="4" t="inlineStr">
        <is>
          <t>Dining chair</t>
        </is>
      </c>
      <c r="D26" s="4" t="inlineStr">
        <is>
          <t>Loose furniture</t>
        </is>
      </c>
      <c r="E26" s="4" t="n">
        <v>1.1</v>
      </c>
      <c r="F26" s="4" t="n">
        <v>1</v>
      </c>
      <c r="G26" s="4" t="n">
        <v>6</v>
      </c>
      <c r="H26" s="4" t="inlineStr">
        <is>
          <t>Teak + cane</t>
        </is>
      </c>
      <c r="I26" s="10" t="n"/>
      <c r="J26" s="11">
        <f>G26*I26</f>
        <v/>
      </c>
      <c r="K26" s="8" t="inlineStr"/>
      <c r="L26" s="8" t="inlineStr"/>
    </row>
    <row r="27">
      <c r="A27" s="4" t="inlineStr">
        <is>
          <t>F26</t>
        </is>
      </c>
      <c r="B27" s="4" t="inlineStr">
        <is>
          <t>Pooja</t>
        </is>
      </c>
      <c r="C27" s="4" t="inlineStr">
        <is>
          <t>Pooja mandapam / shelf (east wall)</t>
        </is>
      </c>
      <c r="D27" s="4" t="inlineStr">
        <is>
          <t>Built-in joinery</t>
        </is>
      </c>
      <c r="E27" s="4" t="n">
        <v>0.6</v>
      </c>
      <c r="F27" s="4" t="n">
        <v>3</v>
      </c>
      <c r="G27" s="4" t="n">
        <v>1</v>
      </c>
      <c r="H27" s="4" t="inlineStr">
        <is>
          <t>Carved teak</t>
        </is>
      </c>
      <c r="I27" s="10" t="n"/>
      <c r="J27" s="11">
        <f>G27*I27</f>
        <v/>
      </c>
      <c r="K27" s="8" t="inlineStr"/>
      <c r="L27" s="8" t="inlineStr"/>
    </row>
    <row r="28">
      <c r="A28" s="4" t="inlineStr">
        <is>
          <t>F27</t>
        </is>
      </c>
      <c r="B28" s="4" t="inlineStr">
        <is>
          <t>Pooja</t>
        </is>
      </c>
      <c r="C28" s="4" t="inlineStr">
        <is>
          <t>Pooja cupboard</t>
        </is>
      </c>
      <c r="D28" s="4" t="inlineStr">
        <is>
          <t>Built-in joinery</t>
        </is>
      </c>
      <c r="E28" s="4" t="n">
        <v>1.3</v>
      </c>
      <c r="F28" s="4" t="n">
        <v>1.6</v>
      </c>
      <c r="G28" s="4" t="n">
        <v>1</v>
      </c>
      <c r="H28" s="4" t="inlineStr">
        <is>
          <t>Teak</t>
        </is>
      </c>
      <c r="I28" s="10" t="n"/>
      <c r="J28" s="11">
        <f>G28*I28</f>
        <v/>
      </c>
      <c r="K28" s="8" t="inlineStr"/>
      <c r="L28" s="8" t="inlineStr"/>
    </row>
    <row r="29">
      <c r="A29" s="4" t="inlineStr">
        <is>
          <t>F28</t>
        </is>
      </c>
      <c r="B29" s="4" t="inlineStr">
        <is>
          <t>Store</t>
        </is>
      </c>
      <c r="C29" s="4" t="inlineStr">
        <is>
          <t>Shelving, L-shaped</t>
        </is>
      </c>
      <c r="D29" s="4" t="inlineStr">
        <is>
          <t>Built-in joinery</t>
        </is>
      </c>
      <c r="E29" s="4" t="n">
        <v>5.4</v>
      </c>
      <c r="F29" s="4" t="n">
        <v>1.5</v>
      </c>
      <c r="G29" s="4" t="n">
        <v>1</v>
      </c>
      <c r="H29" s="4" t="inlineStr">
        <is>
          <t>MS or ply, 1.5 ft deep</t>
        </is>
      </c>
      <c r="I29" s="10" t="n"/>
      <c r="J29" s="11">
        <f>G29*I29</f>
        <v/>
      </c>
      <c r="K29" s="8" t="inlineStr"/>
      <c r="L29" s="8" t="inlineStr"/>
    </row>
    <row r="30">
      <c r="A30" s="4" t="inlineStr">
        <is>
          <t>F29</t>
        </is>
      </c>
      <c r="B30" s="4" t="inlineStr">
        <is>
          <t>Wet area</t>
        </is>
      </c>
      <c r="C30" s="4" t="inlineStr">
        <is>
          <t>Double-bowl utility sink counter</t>
        </is>
      </c>
      <c r="D30" s="4" t="inlineStr">
        <is>
          <t>Sanitary / plumbing</t>
        </is>
      </c>
      <c r="E30" s="4" t="n">
        <v>4</v>
      </c>
      <c r="F30" s="4" t="n">
        <v>1.9</v>
      </c>
      <c r="G30" s="4" t="n">
        <v>1</v>
      </c>
      <c r="H30" s="4" t="inlineStr">
        <is>
          <t>Kadappa / granite, SS sinks</t>
        </is>
      </c>
      <c r="I30" s="10" t="n"/>
      <c r="J30" s="11">
        <f>G30*I30</f>
        <v/>
      </c>
      <c r="K30" s="8" t="inlineStr"/>
      <c r="L30" s="8" t="inlineStr"/>
    </row>
    <row r="31">
      <c r="A31" s="4" t="inlineStr">
        <is>
          <t>F30</t>
        </is>
      </c>
      <c r="B31" s="4" t="inlineStr">
        <is>
          <t>Wet area</t>
        </is>
      </c>
      <c r="C31" s="4" t="inlineStr">
        <is>
          <t>Washing machine bay 2' x 2'</t>
        </is>
      </c>
      <c r="D31" s="4" t="inlineStr">
        <is>
          <t>Appliance / joinery</t>
        </is>
      </c>
      <c r="E31" s="4" t="n">
        <v>1.9</v>
      </c>
      <c r="F31" s="4" t="n">
        <v>2</v>
      </c>
      <c r="G31" s="4" t="n">
        <v>1</v>
      </c>
      <c r="H31" s="4" t="inlineStr">
        <is>
          <t>Splash-proof socket, floor drain</t>
        </is>
      </c>
      <c r="I31" s="10" t="n"/>
      <c r="J31" s="11">
        <f>G31*I31</f>
        <v/>
      </c>
      <c r="K31" s="8" t="inlineStr"/>
      <c r="L31" s="8" t="inlineStr"/>
    </row>
    <row r="32">
      <c r="A32" s="4" t="inlineStr">
        <is>
          <t>F31</t>
        </is>
      </c>
      <c r="B32" s="4" t="inlineStr">
        <is>
          <t>Wet area</t>
        </is>
      </c>
      <c r="C32" s="4" t="inlineStr">
        <is>
          <t>Ceiling pulley clothes airer</t>
        </is>
      </c>
      <c r="D32" s="4" t="inlineStr">
        <is>
          <t>Built-in joinery</t>
        </is>
      </c>
      <c r="E32" s="4" t="n">
        <v>4</v>
      </c>
      <c r="F32" s="4" t="n">
        <v>2.5</v>
      </c>
      <c r="G32" s="4" t="n">
        <v>1</v>
      </c>
      <c r="H32" s="4" t="inlineStr">
        <is>
          <t>Aluminium</t>
        </is>
      </c>
      <c r="I32" s="10" t="n"/>
      <c r="J32" s="11">
        <f>G32*I32</f>
        <v/>
      </c>
      <c r="K32" s="8" t="inlineStr"/>
      <c r="L32" s="8" t="inlineStr"/>
    </row>
    <row r="33">
      <c r="A33" s="4" t="inlineStr">
        <is>
          <t>F32</t>
        </is>
      </c>
      <c r="B33" s="4" t="inlineStr">
        <is>
          <t>Wash link</t>
        </is>
      </c>
      <c r="C33" s="4" t="inlineStr">
        <is>
          <t>Hand-wash basin 16-20 in</t>
        </is>
      </c>
      <c r="D33" s="4" t="inlineStr">
        <is>
          <t>Sanitary / plumbing</t>
        </is>
      </c>
      <c r="E33" s="4" t="n">
        <v>2</v>
      </c>
      <c r="F33" s="4" t="n">
        <v>1.1</v>
      </c>
      <c r="G33" s="4" t="n">
        <v>1</v>
      </c>
      <c r="H33" s="4" t="inlineStr">
        <is>
          <t>Ceramic, wall-hung</t>
        </is>
      </c>
      <c r="I33" s="10" t="n"/>
      <c r="J33" s="11">
        <f>G33*I33</f>
        <v/>
      </c>
      <c r="K33" s="8" t="inlineStr"/>
      <c r="L33" s="8" t="inlineStr"/>
    </row>
    <row r="34">
      <c r="A34" s="4" t="inlineStr">
        <is>
          <t>F33</t>
        </is>
      </c>
      <c r="B34" s="4" t="inlineStr">
        <is>
          <t>Wash link</t>
        </is>
      </c>
      <c r="C34" s="4" t="inlineStr">
        <is>
          <t>Crockery / serving unit, 1 ft deep</t>
        </is>
      </c>
      <c r="D34" s="4" t="inlineStr">
        <is>
          <t>Built-in joinery</t>
        </is>
      </c>
      <c r="E34" s="4" t="n">
        <v>5.1</v>
      </c>
      <c r="F34" s="4" t="n">
        <v>0.9</v>
      </c>
      <c r="G34" s="4" t="n">
        <v>1</v>
      </c>
      <c r="H34" s="4" t="inlineStr">
        <is>
          <t>Teak + glass shutters</t>
        </is>
      </c>
      <c r="I34" s="10" t="n"/>
      <c r="J34" s="11">
        <f>G34*I34</f>
        <v/>
      </c>
      <c r="K34" s="8" t="inlineStr"/>
      <c r="L34" s="8" t="inlineStr"/>
    </row>
    <row r="35">
      <c r="A35" s="4" t="inlineStr">
        <is>
          <t>F34</t>
        </is>
      </c>
      <c r="B35" s="4" t="inlineStr">
        <is>
          <t>Kitchen</t>
        </is>
      </c>
      <c r="C35" s="4" t="inlineStr">
        <is>
          <t>L-counter, south run</t>
        </is>
      </c>
      <c r="D35" s="4" t="inlineStr">
        <is>
          <t>Built-in joinery</t>
        </is>
      </c>
      <c r="E35" s="4" t="n">
        <v>9.199999999999999</v>
      </c>
      <c r="F35" s="4" t="n">
        <v>2</v>
      </c>
      <c r="G35" s="4" t="n">
        <v>1</v>
      </c>
      <c r="H35" s="4" t="inlineStr">
        <is>
          <t>Granite top, ply carcass</t>
        </is>
      </c>
      <c r="I35" s="10" t="n"/>
      <c r="J35" s="11">
        <f>G35*I35</f>
        <v/>
      </c>
      <c r="K35" s="8" t="inlineStr"/>
      <c r="L35" s="8" t="inlineStr"/>
    </row>
    <row r="36">
      <c r="A36" s="4" t="inlineStr">
        <is>
          <t>F35</t>
        </is>
      </c>
      <c r="B36" s="4" t="inlineStr">
        <is>
          <t>Kitchen</t>
        </is>
      </c>
      <c r="C36" s="4" t="inlineStr">
        <is>
          <t>L-counter, east run (hob)</t>
        </is>
      </c>
      <c r="D36" s="4" t="inlineStr">
        <is>
          <t>Built-in joinery</t>
        </is>
      </c>
      <c r="E36" s="4" t="n">
        <v>2</v>
      </c>
      <c r="F36" s="4" t="n">
        <v>7</v>
      </c>
      <c r="G36" s="4" t="n">
        <v>1</v>
      </c>
      <c r="H36" s="4" t="inlineStr">
        <is>
          <t>Granite top, cook faces east</t>
        </is>
      </c>
      <c r="I36" s="10" t="n"/>
      <c r="J36" s="11">
        <f>G36*I36</f>
        <v/>
      </c>
      <c r="K36" s="8" t="inlineStr"/>
      <c r="L36" s="8" t="inlineStr"/>
    </row>
    <row r="37">
      <c r="A37" s="4" t="inlineStr">
        <is>
          <t>F36</t>
        </is>
      </c>
      <c r="B37" s="4" t="inlineStr">
        <is>
          <t>Kitchen</t>
        </is>
      </c>
      <c r="C37" s="4" t="inlineStr">
        <is>
          <t>Refrigerator space</t>
        </is>
      </c>
      <c r="D37" s="4" t="inlineStr">
        <is>
          <t>Appliance / joinery</t>
        </is>
      </c>
      <c r="E37" s="4" t="n">
        <v>2.3</v>
      </c>
      <c r="F37" s="4" t="n">
        <v>2</v>
      </c>
      <c r="G37" s="4" t="n">
        <v>1</v>
      </c>
      <c r="H37" s="4" t="inlineStr">
        <is>
          <t>Double-door, 2'6" wide</t>
        </is>
      </c>
      <c r="I37" s="10" t="n"/>
      <c r="J37" s="11">
        <f>G37*I37</f>
        <v/>
      </c>
      <c r="K37" s="8" t="inlineStr"/>
      <c r="L37" s="8" t="inlineStr"/>
    </row>
    <row r="38">
      <c r="A38" s="4" t="inlineStr">
        <is>
          <t>F37</t>
        </is>
      </c>
      <c r="B38" s="4" t="inlineStr">
        <is>
          <t>Living</t>
        </is>
      </c>
      <c r="C38" s="4" t="inlineStr">
        <is>
          <t>TV unit + 50-55 in TV</t>
        </is>
      </c>
      <c r="D38" s="4" t="inlineStr">
        <is>
          <t>Appliance / joinery</t>
        </is>
      </c>
      <c r="E38" s="4" t="n">
        <v>3.4</v>
      </c>
      <c r="F38" s="4" t="n">
        <v>1.2</v>
      </c>
      <c r="G38" s="4" t="n">
        <v>1</v>
      </c>
      <c r="H38" s="4" t="inlineStr">
        <is>
          <t>Teak, on solid wall in screen</t>
        </is>
      </c>
      <c r="I38" s="10" t="n"/>
      <c r="J38" s="11">
        <f>G38*I38</f>
        <v/>
      </c>
      <c r="K38" s="8" t="inlineStr"/>
      <c r="L38" s="8" t="inlineStr"/>
    </row>
    <row r="39">
      <c r="A39" s="4" t="inlineStr">
        <is>
          <t>F38</t>
        </is>
      </c>
      <c r="B39" s="4" t="inlineStr">
        <is>
          <t>Living</t>
        </is>
      </c>
      <c r="C39" s="4" t="inlineStr">
        <is>
          <t>Three-seat sofa 6'6"</t>
        </is>
      </c>
      <c r="D39" s="4" t="inlineStr">
        <is>
          <t>Loose furniture</t>
        </is>
      </c>
      <c r="E39" s="4" t="n">
        <v>6.5</v>
      </c>
      <c r="F39" s="4" t="n">
        <v>2.7</v>
      </c>
      <c r="G39" s="4" t="n">
        <v>1</v>
      </c>
      <c r="H39" s="4" t="inlineStr">
        <is>
          <t>Teak frame, cotton cushions</t>
        </is>
      </c>
      <c r="I39" s="10" t="n"/>
      <c r="J39" s="11">
        <f>G39*I39</f>
        <v/>
      </c>
      <c r="K39" s="8" t="inlineStr"/>
      <c r="L39" s="8" t="inlineStr"/>
    </row>
    <row r="40">
      <c r="A40" s="4" t="inlineStr">
        <is>
          <t>F39</t>
        </is>
      </c>
      <c r="B40" s="4" t="inlineStr">
        <is>
          <t>Living</t>
        </is>
      </c>
      <c r="C40" s="4" t="inlineStr">
        <is>
          <t>Coffee table 3'6" x 2'</t>
        </is>
      </c>
      <c r="D40" s="4" t="inlineStr">
        <is>
          <t>Loose furniture</t>
        </is>
      </c>
      <c r="E40" s="4" t="n">
        <v>3.5</v>
      </c>
      <c r="F40" s="4" t="n">
        <v>2</v>
      </c>
      <c r="G40" s="4" t="n">
        <v>1</v>
      </c>
      <c r="H40" s="4" t="inlineStr">
        <is>
          <t>Teak</t>
        </is>
      </c>
      <c r="I40" s="10" t="n"/>
      <c r="J40" s="11">
        <f>G40*I40</f>
        <v/>
      </c>
      <c r="K40" s="8" t="inlineStr"/>
      <c r="L40" s="8" t="inlineStr"/>
    </row>
    <row r="41">
      <c r="A41" s="4" t="inlineStr">
        <is>
          <t>F40</t>
        </is>
      </c>
      <c r="B41" s="4" t="inlineStr">
        <is>
          <t>Living</t>
        </is>
      </c>
      <c r="C41" s="4" t="inlineStr">
        <is>
          <t>Morning armchair by east window</t>
        </is>
      </c>
      <c r="D41" s="4" t="inlineStr">
        <is>
          <t>Loose furniture</t>
        </is>
      </c>
      <c r="E41" s="4" t="n">
        <v>2</v>
      </c>
      <c r="F41" s="4" t="n">
        <v>2</v>
      </c>
      <c r="G41" s="4" t="n">
        <v>1</v>
      </c>
      <c r="H41" s="4" t="inlineStr">
        <is>
          <t>Cane / teak</t>
        </is>
      </c>
      <c r="I41" s="10" t="n"/>
      <c r="J41" s="11">
        <f>G41*I41</f>
        <v/>
      </c>
      <c r="K41" s="8" t="inlineStr"/>
      <c r="L41" s="8" t="inlineStr"/>
    </row>
    <row r="42">
      <c r="A42" s="4" t="inlineStr">
        <is>
          <t>F41</t>
        </is>
      </c>
      <c r="B42" s="4" t="inlineStr">
        <is>
          <t>Poomukham (verandah)</t>
        </is>
      </c>
      <c r="C42" s="4" t="inlineStr">
        <is>
          <t>Oonjal (swing) 3'6"</t>
        </is>
      </c>
      <c r="D42" s="4" t="inlineStr">
        <is>
          <t>Loose furniture</t>
        </is>
      </c>
      <c r="E42" s="4" t="n">
        <v>3.5</v>
      </c>
      <c r="F42" s="4" t="n">
        <v>1.5</v>
      </c>
      <c r="G42" s="4" t="n">
        <v>1</v>
      </c>
      <c r="H42" s="4" t="inlineStr">
        <is>
          <t>Teak, chains to beam</t>
        </is>
      </c>
      <c r="I42" s="10" t="n"/>
      <c r="J42" s="11">
        <f>G42*I42</f>
        <v/>
      </c>
      <c r="K42" s="8" t="inlineStr"/>
      <c r="L42" s="8" t="inlineStr"/>
    </row>
    <row r="43">
      <c r="A43" s="4" t="inlineStr">
        <is>
          <t>F42</t>
        </is>
      </c>
      <c r="B43" s="4" t="inlineStr">
        <is>
          <t>Poomukham (verandah)</t>
        </is>
      </c>
      <c r="C43" s="4" t="inlineStr">
        <is>
          <t>Arugu seats (built-in)</t>
        </is>
      </c>
      <c r="D43" s="4" t="inlineStr">
        <is>
          <t>Built-in joinery</t>
        </is>
      </c>
      <c r="E43" s="4" t="n">
        <v>1.2</v>
      </c>
      <c r="F43" s="4" t="n">
        <v>4.2</v>
      </c>
      <c r="G43" s="4" t="n">
        <v>2</v>
      </c>
      <c r="H43" s="4" t="inlineStr">
        <is>
          <t>Laterite base, teak top</t>
        </is>
      </c>
      <c r="I43" s="10" t="n"/>
      <c r="J43" s="11">
        <f>G43*I43</f>
        <v/>
      </c>
      <c r="K43" s="8" t="inlineStr"/>
      <c r="L43" s="8" t="inlineStr"/>
    </row>
    <row r="44">
      <c r="A44" s="6" t="inlineStr"/>
      <c r="B44" s="6" t="inlineStr"/>
      <c r="C44" s="6" t="inlineStr">
        <is>
          <t>Total</t>
        </is>
      </c>
      <c r="D44" s="6" t="inlineStr"/>
      <c r="E44" s="6" t="inlineStr"/>
      <c r="F44" s="6" t="inlineStr"/>
      <c r="G44" s="6">
        <f>SUM(G2:G43)</f>
        <v/>
      </c>
      <c r="H44" s="6" t="inlineStr"/>
      <c r="I44" s="12" t="inlineStr"/>
      <c r="J44" s="12">
        <f>SUM(J2:J43)</f>
        <v/>
      </c>
      <c r="K44" s="6" t="inlineStr"/>
      <c r="L44" s="6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  <col width="34" customWidth="1" min="4" max="4"/>
    <col width="26" customWidth="1" min="5" max="5"/>
    <col width="16" customWidth="1" min="6" max="6"/>
  </cols>
  <sheetData>
    <row r="1" ht="30" customHeight="1">
      <c r="A1" s="3" t="inlineStr">
        <is>
          <t>Space</t>
        </is>
      </c>
      <c r="B1" s="3" t="inlineStr">
        <is>
          <t>Floor</t>
        </is>
      </c>
      <c r="C1" s="3" t="inlineStr">
        <is>
          <t>Walls</t>
        </is>
      </c>
      <c r="D1" s="3" t="inlineStr">
        <is>
          <t>Ceiling</t>
        </is>
      </c>
      <c r="E1" s="3" t="inlineStr">
        <is>
          <t>Notes</t>
        </is>
      </c>
      <c r="F1" s="3" t="inlineStr">
        <is>
          <t>Decision</t>
        </is>
      </c>
    </row>
    <row r="2">
      <c r="A2" s="4" t="inlineStr">
        <is>
          <t>Living, dining, hall, bedrooms, offices</t>
        </is>
      </c>
      <c r="B2" s="4" t="inlineStr">
        <is>
          <t>Red oxide (cement) or terracotta tile</t>
        </is>
      </c>
      <c r="C2" s="4" t="inlineStr">
        <is>
          <t>Lime plaster, off-white</t>
        </is>
      </c>
      <c r="D2" s="4" t="inlineStr">
        <is>
          <t>Exposed steel truss + clay ceiling tiles / timber</t>
        </is>
      </c>
      <c r="E2" s="4" t="inlineStr">
        <is>
          <t>Sloped ceiling in living</t>
        </is>
      </c>
      <c r="F2" s="8" t="inlineStr"/>
    </row>
    <row r="3">
      <c r="A3" s="4" t="inlineStr">
        <is>
          <t>Pooja</t>
        </is>
      </c>
      <c r="B3" s="4" t="inlineStr">
        <is>
          <t>Wooden or red oxide</t>
        </is>
      </c>
      <c r="C3" s="4" t="inlineStr">
        <is>
          <t>Lime plaster, teak panelling</t>
        </is>
      </c>
      <c r="D3" s="4" t="inlineStr">
        <is>
          <t>Timber</t>
        </is>
      </c>
      <c r="E3" s="4" t="inlineStr">
        <is>
          <t>Idol on east wall</t>
        </is>
      </c>
      <c r="F3" s="8" t="inlineStr"/>
    </row>
    <row r="4">
      <c r="A4" s="4" t="inlineStr">
        <is>
          <t>Kitchen</t>
        </is>
      </c>
      <c r="B4" s="4" t="inlineStr">
        <is>
          <t>Anti-skid vitrified tile</t>
        </is>
      </c>
      <c r="C4" s="4" t="inlineStr">
        <is>
          <t>Glazed tile dado to 2 ft above counter</t>
        </is>
      </c>
      <c r="D4" s="4" t="inlineStr">
        <is>
          <t>Plastered slab / board</t>
        </is>
      </c>
      <c r="E4" s="4" t="inlineStr">
        <is>
          <t>Granite counters</t>
        </is>
      </c>
      <c r="F4" s="8" t="inlineStr"/>
    </row>
    <row r="5">
      <c r="A5" s="4" t="inlineStr">
        <is>
          <t>Ensuite, Bath 2</t>
        </is>
      </c>
      <c r="B5" s="4" t="inlineStr">
        <is>
          <t>Anti-skid ceramic tile</t>
        </is>
      </c>
      <c r="C5" s="4" t="inlineStr">
        <is>
          <t>Tile to 7 ft</t>
        </is>
      </c>
      <c r="D5" s="4" t="inlineStr">
        <is>
          <t>Moisture-resistant board</t>
        </is>
      </c>
      <c r="E5" s="4" t="inlineStr">
        <is>
          <t>Floor falls to drain</t>
        </is>
      </c>
      <c r="F5" s="8" t="inlineStr"/>
    </row>
    <row r="6">
      <c r="A6" s="4" t="inlineStr">
        <is>
          <t>Wet area, wash link</t>
        </is>
      </c>
      <c r="B6" s="4" t="inlineStr">
        <is>
          <t>Kota / anti-skid tile, falls to drain</t>
        </is>
      </c>
      <c r="C6" s="4" t="inlineStr">
        <is>
          <t>Tile dado 4 ft</t>
        </is>
      </c>
      <c r="D6" s="4" t="inlineStr">
        <is>
          <t>Open truss</t>
        </is>
      </c>
      <c r="E6" s="4" t="inlineStr">
        <is>
          <t>Semi-open, jali wall</t>
        </is>
      </c>
      <c r="F6" s="8" t="inlineStr"/>
    </row>
    <row r="7">
      <c r="A7" s="4" t="inlineStr">
        <is>
          <t>Store, walk-in</t>
        </is>
      </c>
      <c r="B7" s="4" t="inlineStr">
        <is>
          <t>Red oxide or vitrified</t>
        </is>
      </c>
      <c r="C7" s="4" t="inlineStr">
        <is>
          <t>Lime plaster</t>
        </is>
      </c>
      <c r="D7" s="4" t="inlineStr">
        <is>
          <t>Board</t>
        </is>
      </c>
      <c r="E7" s="4" t="inlineStr"/>
      <c r="F7" s="8" t="inlineStr"/>
    </row>
    <row r="8">
      <c r="A8" s="4" t="inlineStr">
        <is>
          <t>Poomukham, steps, plinth</t>
        </is>
      </c>
      <c r="B8" s="4" t="inlineStr">
        <is>
          <t>Laterite / granite, red oxide</t>
        </is>
      </c>
      <c r="C8" s="4" t="inlineStr">
        <is>
          <t>Laterite + lime</t>
        </is>
      </c>
      <c r="D8" s="4" t="inlineStr">
        <is>
          <t>Exposed teak rafters</t>
        </is>
      </c>
      <c r="E8" s="4" t="inlineStr">
        <is>
          <t>Teak pillars</t>
        </is>
      </c>
      <c r="F8" s="8" t="inlineStr"/>
    </row>
    <row r="9">
      <c r="A9" s="4" t="inlineStr">
        <is>
          <t>Roof (all)</t>
        </is>
      </c>
      <c r="B9" s="4" t="inlineStr">
        <is>
          <t>Mangalore clay tiles on battens</t>
        </is>
      </c>
      <c r="C9" s="4" t="inlineStr">
        <is>
          <t>Membrane + cement-fibre deck</t>
        </is>
      </c>
      <c r="D9" s="4" t="inlineStr">
        <is>
          <t>Steel truss</t>
        </is>
      </c>
      <c r="E9" s="4" t="inlineStr">
        <is>
          <t>Pest-proof deck</t>
        </is>
      </c>
      <c r="F9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0" customWidth="1" min="3" max="3"/>
    <col width="22" customWidth="1" min="4" max="4"/>
    <col width="18" customWidth="1" min="5" max="5"/>
  </cols>
  <sheetData>
    <row r="1" ht="30" customHeight="1">
      <c r="A1" s="3" t="inlineStr">
        <is>
          <t>#</t>
        </is>
      </c>
      <c r="B1" s="3" t="inlineStr">
        <is>
          <t>Category</t>
        </is>
      </c>
      <c r="C1" s="3" t="inlineStr">
        <is>
          <t>Issue</t>
        </is>
      </c>
      <c r="D1" s="3" t="inlineStr">
        <is>
          <t>Who resolves</t>
        </is>
      </c>
      <c r="E1" s="3" t="inlineStr">
        <is>
          <t>Status</t>
        </is>
      </c>
    </row>
    <row r="2">
      <c r="A2" s="4" t="n">
        <v>1</v>
      </c>
      <c r="B2" s="4" t="inlineStr">
        <is>
          <t>Land</t>
        </is>
      </c>
      <c r="C2" s="4" t="inlineStr">
        <is>
          <t>Merge the 25 ft plot and 10 ft north strip legally before approval (north wall sits on 25 ft plot line)</t>
        </is>
      </c>
      <c r="D2" s="4" t="inlineStr">
        <is>
          <t>Architect / surveyor</t>
        </is>
      </c>
      <c r="E2" s="8" t="inlineStr">
        <is>
          <t>Deferred by owner</t>
        </is>
      </c>
    </row>
    <row r="3">
      <c r="A3" s="4" t="n">
        <v>2</v>
      </c>
      <c r="B3" s="4" t="inlineStr">
        <is>
          <t>Land</t>
        </is>
      </c>
      <c r="C3" s="4" t="inlineStr">
        <is>
          <t>Confirm side (3 ft) and front (10 ft) setbacks under Kerala building rules</t>
        </is>
      </c>
      <c r="D3" s="4" t="inlineStr">
        <is>
          <t>Architect</t>
        </is>
      </c>
      <c r="E3" s="8" t="inlineStr">
        <is>
          <t>Deferred by owner</t>
        </is>
      </c>
    </row>
    <row r="4">
      <c r="A4" s="4" t="n">
        <v>3</v>
      </c>
      <c r="B4" s="4" t="inlineStr">
        <is>
          <t>Phase 2</t>
        </is>
      </c>
      <c r="C4" s="4" t="inlineStr">
        <is>
          <t>Phase 2 will block north light: keep a 4-5 ft light gap or open structures only</t>
        </is>
      </c>
      <c r="D4" s="4" t="inlineStr">
        <is>
          <t>Architect</t>
        </is>
      </c>
      <c r="E4" s="8" t="inlineStr">
        <is>
          <t>Deferred by owner</t>
        </is>
      </c>
    </row>
    <row r="5">
      <c r="A5" s="4" t="n">
        <v>4</v>
      </c>
      <c r="B5" s="4" t="inlineStr">
        <is>
          <t>Services</t>
        </is>
      </c>
      <c r="C5" s="4" t="inlineStr">
        <is>
          <t>Septic tank and soak pit in 5 ft rear setback: check sizes and distances</t>
        </is>
      </c>
      <c r="D5" s="4" t="inlineStr">
        <is>
          <t>Engineer</t>
        </is>
      </c>
      <c r="E5" s="8" t="inlineStr">
        <is>
          <t>Open</t>
        </is>
      </c>
    </row>
    <row r="6">
      <c r="A6" s="4" t="n">
        <v>5</v>
      </c>
      <c r="B6" s="4" t="inlineStr">
        <is>
          <t>Services</t>
        </is>
      </c>
      <c r="C6" s="4" t="inlineStr">
        <is>
          <t>Grey-water soak pit location vs sump distance</t>
        </is>
      </c>
      <c r="D6" s="4" t="inlineStr">
        <is>
          <t>Engineer</t>
        </is>
      </c>
      <c r="E6" s="8" t="inlineStr">
        <is>
          <t>Open</t>
        </is>
      </c>
    </row>
    <row r="7">
      <c r="A7" s="4" t="n">
        <v>6</v>
      </c>
      <c r="B7" s="4" t="inlineStr">
        <is>
          <t>Vastu</t>
        </is>
      </c>
      <c r="C7" s="4" t="inlineStr">
        <is>
          <t>Bed head east (master), NW ensuite, central dining, pooja north-centre</t>
        </is>
      </c>
      <c r="D7" s="4" t="inlineStr">
        <is>
          <t>Vastu consultant</t>
        </is>
      </c>
      <c r="E7" s="8" t="inlineStr">
        <is>
          <t>To confirm</t>
        </is>
      </c>
    </row>
    <row r="8">
      <c r="A8" s="4" t="n">
        <v>7</v>
      </c>
      <c r="B8" s="4" t="inlineStr">
        <is>
          <t>Structure</t>
        </is>
      </c>
      <c r="C8" s="4" t="inlineStr">
        <is>
          <t>Steel truss design, skylight framing, front gable; single-storey foundations</t>
        </is>
      </c>
      <c r="D8" s="4" t="inlineStr">
        <is>
          <t>Structural engineer</t>
        </is>
      </c>
      <c r="E8" s="8" t="inlineStr">
        <is>
          <t>Open</t>
        </is>
      </c>
    </row>
    <row r="9">
      <c r="A9" s="4" t="n">
        <v>8</v>
      </c>
      <c r="B9" s="4" t="inlineStr">
        <is>
          <t>Climate</t>
        </is>
      </c>
      <c r="C9" s="4" t="inlineStr">
        <is>
          <t>Skylight heat gain: louvres, top vent, reflective glass</t>
        </is>
      </c>
      <c r="D9" s="4" t="inlineStr">
        <is>
          <t>Architect</t>
        </is>
      </c>
      <c r="E9" s="8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0" customWidth="1" min="2" max="2"/>
  </cols>
  <sheetData>
    <row r="1" ht="30" customHeight="1">
      <c r="A1" s="3" t="inlineStr">
        <is>
          <t>#</t>
        </is>
      </c>
      <c r="B1" s="3" t="inlineStr">
        <is>
          <t>Decision (agreed in concept stage)</t>
        </is>
      </c>
    </row>
    <row r="2">
      <c r="A2" s="4" t="n">
        <v>1</v>
      </c>
      <c r="B2" s="4" t="inlineStr">
        <is>
          <t>Courtyard removed; skylit dining hall at plot centre keeps the Brahmasthan open and lit.</t>
        </is>
      </c>
    </row>
    <row r="3">
      <c r="A3" s="4" t="n">
        <v>2</v>
      </c>
      <c r="B3" s="4" t="inlineStr">
        <is>
          <t>Single storey, no internal stair; roof access by fixed ladder; water tank on stand in SW rear garden.</t>
        </is>
      </c>
    </row>
    <row r="4">
      <c r="A4" s="4" t="n">
        <v>3</v>
      </c>
      <c r="B4" s="4" t="inlineStr">
        <is>
          <t>House length 55 ft (5 ft rear garden, 10 ft front yard).</t>
        </is>
      </c>
    </row>
    <row r="5">
      <c r="A5" s="4" t="n">
        <v>4</v>
      </c>
      <c r="B5" s="4" t="inlineStr">
        <is>
          <t>Service band on south (heat buffer); bedrooms and living get north light.</t>
        </is>
      </c>
    </row>
    <row r="6">
      <c r="A6" s="4" t="n">
        <v>5</v>
      </c>
      <c r="B6" s="4" t="inlineStr">
        <is>
          <t>Kitchen in SE; stove on east wall; semi-open wet area with jali; separate dry store.</t>
        </is>
      </c>
    </row>
    <row r="7">
      <c r="A7" s="4" t="n">
        <v>6</v>
      </c>
      <c r="B7" s="4" t="inlineStr">
        <is>
          <t>Master suite: NW ensuite, dressing alcove, walk-in, Office 2 with sliding glass door.</t>
        </is>
      </c>
    </row>
    <row r="8">
      <c r="A8" s="4" t="n">
        <v>7</v>
      </c>
      <c r="B8" s="4" t="inlineStr">
        <is>
          <t>Office 1 off hall; Bath 2 fixtures kept away from shared wall.</t>
        </is>
      </c>
    </row>
    <row r="9">
      <c r="A9" s="4" t="n">
        <v>8</v>
      </c>
      <c r="B9" s="4" t="inlineStr">
        <is>
          <t>Living: TV on solid wall in south jali screen, sofa under north window, east window for morning light.</t>
        </is>
      </c>
    </row>
    <row r="10">
      <c r="A10" s="4" t="n">
        <v>9</v>
      </c>
      <c r="B10" s="4" t="inlineStr">
        <is>
          <t>Roof: Mangalore clay tiles on steel truss with sealed cement-fibre deck (pest-proof, no slab).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2026-10-30T05:34:27Z</dcterms:created>
  <dcterms:modified xsi:type="dcterms:W3CDTF">2026-10-30T05:34:27Z</dcterms:modified>
</cp:coreProperties>
</file>