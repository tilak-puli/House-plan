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comment2.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omments/comment3.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omments/comment4.xml" ContentType="application/vnd.openxmlformats-officedocument.spreadsheetml.comments+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_Me" sheetId="1" state="visible" r:id="rId1"/>
    <sheet name="Rooms" sheetId="2" state="visible" r:id="rId2"/>
    <sheet name="Doors" sheetId="3" state="visible" r:id="rId3"/>
    <sheet name="Windows" sheetId="4" state="visible" r:id="rId4"/>
    <sheet name="Furniture" sheetId="5" state="visible" r:id="rId5"/>
    <sheet name="Finishes" sheetId="6" state="visible" r:id="rId6"/>
    <sheet name="Specification" sheetId="7" state="visible" r:id="rId7"/>
    <sheet name="Quantities" sheetId="8" state="visible" r:id="rId8"/>
    <sheet name="Electrical" sheetId="9" state="visible" r:id="rId9"/>
    <sheet name="Plumbing" sheetId="10" state="visible" r:id="rId10"/>
    <sheet name="Checklist" sheetId="11" state="visible" r:id="rId11"/>
    <sheet name="Hold_Points" sheetId="12" state="visible" r:id="rId12"/>
    <sheet name="Open_Issues" sheetId="13" state="visible" r:id="rId13"/>
    <sheet name="Decisions" sheetId="14" state="visible" r:id="rId14"/>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
  </numFmts>
  <fonts count="5">
    <font>
      <name val="Calibri"/>
      <family val="2"/>
      <color theme="1"/>
      <sz val="11"/>
      <scheme val="minor"/>
    </font>
    <font>
      <name val="Arial"/>
      <b val="1"/>
      <sz val="13"/>
    </font>
    <font>
      <name val="Arial"/>
      <sz val="10"/>
    </font>
    <font>
      <name val="Arial"/>
      <b val="1"/>
      <color rgb="00FFFFFF"/>
    </font>
    <font>
      <name val="Arial"/>
      <b val="1"/>
    </font>
  </fonts>
  <fills count="5">
    <fill>
      <patternFill/>
    </fill>
    <fill>
      <patternFill patternType="gray125"/>
    </fill>
    <fill>
      <patternFill patternType="solid">
        <fgColor rgb="002F6B4F"/>
      </patternFill>
    </fill>
    <fill>
      <patternFill patternType="solid">
        <fgColor rgb="00E8EFEA"/>
      </patternFill>
    </fill>
    <fill>
      <patternFill patternType="solid">
        <fgColor rgb="00FFFF00"/>
      </patternFill>
    </fill>
  </fills>
  <borders count="2">
    <border>
      <left/>
      <right/>
      <top/>
      <bottom/>
      <diagonal/>
    </border>
    <border>
      <bottom style="thin">
        <color rgb="00C8C8C8"/>
      </bottom>
    </border>
  </borders>
  <cellStyleXfs count="1">
    <xf numFmtId="0" fontId="0" fillId="0" borderId="0"/>
  </cellStyleXfs>
  <cellXfs count="13">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2" borderId="0" applyAlignment="1" pivotButton="0" quotePrefix="0" xfId="0">
      <alignment vertical="center" wrapText="1"/>
    </xf>
    <xf numFmtId="0" fontId="2" fillId="0" borderId="1" applyAlignment="1" pivotButton="0" quotePrefix="0" xfId="0">
      <alignment vertical="top" wrapText="1"/>
    </xf>
    <xf numFmtId="164" fontId="2" fillId="0" borderId="1" applyAlignment="1" pivotButton="0" quotePrefix="0" xfId="0">
      <alignment vertical="top" wrapText="1"/>
    </xf>
    <xf numFmtId="0" fontId="4" fillId="3" borderId="1" applyAlignment="1" pivotButton="0" quotePrefix="0" xfId="0">
      <alignment vertical="top" wrapText="1"/>
    </xf>
    <xf numFmtId="164" fontId="4" fillId="3" borderId="1" applyAlignment="1" pivotButton="0" quotePrefix="0" xfId="0">
      <alignment vertical="top" wrapText="1"/>
    </xf>
    <xf numFmtId="0" fontId="2" fillId="4" borderId="1" applyAlignment="1" pivotButton="0" quotePrefix="0" xfId="0">
      <alignment vertical="top" wrapText="1"/>
    </xf>
    <xf numFmtId="165" fontId="2" fillId="0" borderId="1" applyAlignment="1" pivotButton="0" quotePrefix="0" xfId="0">
      <alignment vertical="top" wrapText="1"/>
    </xf>
    <xf numFmtId="166" fontId="2" fillId="4" borderId="1" applyAlignment="1" pivotButton="0" quotePrefix="0" xfId="0">
      <alignment vertical="top" wrapText="1"/>
    </xf>
    <xf numFmtId="166" fontId="2" fillId="0" borderId="1" applyAlignment="1" pivotButton="0" quotePrefix="0" xfId="0">
      <alignment vertical="top" wrapText="1"/>
    </xf>
    <xf numFmtId="166" fontId="4"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styles" Target="styles.xml" Id="rId15" /><Relationship Type="http://schemas.openxmlformats.org/officeDocument/2006/relationships/theme" Target="theme/theme1.xml" Id="rId16" /></Relationships>
</file>

<file path=xl/comments/comment1.xml><?xml version="1.0" encoding="utf-8"?>
<comments xmlns="http://schemas.openxmlformats.org/spreadsheetml/2006/main">
  <authors>
    <author>Claude</author>
  </authors>
  <commentList>
    <comment ref="G1" authorId="0" shapeId="0">
      <text>
        <t>1 sq ft = 0.092903 sq m</t>
      </text>
    </comment>
  </commentList>
</comments>
</file>

<file path=xl/comments/comment2.xml><?xml version="1.0" encoding="utf-8"?>
<comments xmlns="http://schemas.openxmlformats.org/spreadsheetml/2006/main">
  <authors>
    <author>Claude</author>
  </authors>
  <commentList>
    <comment ref="I1" authorId="0" shapeId="0">
      <text>
        <t>Your estimate per unit, in rupees. Leave blank until you have a quote.</t>
      </text>
    </comment>
  </commentList>
</comments>
</file>

<file path=xl/comments/comment3.xml><?xml version="1.0" encoding="utf-8"?>
<comments xmlns="http://schemas.openxmlformats.org/spreadsheetml/2006/main">
  <authors>
    <author>Claude</author>
  </authors>
  <commentList>
    <comment ref="F1" authorId="0" shapeId="0">
      <text>
        <t>Fill from local contractor or supplier quotes. Quantities are approximate take-offs from the model.</t>
      </text>
    </comment>
  </commentList>
</comments>
</file>

<file path=xl/comments/comment4.xml><?xml version="1.0" encoding="utf-8"?>
<comments xmlns="http://schemas.openxmlformats.org/spreadsheetml/2006/main">
  <authors>
    <author>Claude</author>
  </authors>
  <commentList>
    <comment ref="E1" authorId="0" shapeId="0">
      <text>
        <t>Mark Agreed / Changed / Not needed after reviewing with your architect.</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5.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8.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11.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sheet1.xml><?xml version="1.0" encoding="utf-8"?>
<worksheet xmlns="http://schemas.openxmlformats.org/spreadsheetml/2006/main">
  <sheetPr>
    <outlinePr summaryBelow="1" summaryRight="1"/>
    <pageSetUpPr/>
  </sheetPr>
  <dimension ref="A1:A14"/>
  <sheetViews>
    <sheetView workbookViewId="0">
      <selection activeCell="A1" sqref="A1"/>
    </sheetView>
  </sheetViews>
  <sheetFormatPr baseColWidth="8" defaultRowHeight="15"/>
  <cols>
    <col width="120" customWidth="1" min="1" max="1"/>
  </cols>
  <sheetData>
    <row r="1">
      <c r="A1" s="1" t="inlineStr">
        <is>
          <t>Kerala Home, Phase 1: schedules</t>
        </is>
      </c>
    </row>
    <row r="2">
      <c r="A2" s="2" t="inlineStr">
        <is>
          <t>Site: Guntur, Andhra Pradesh (agricultural land: conversion to be confirmed). Stage: Draft for professional review (duplex option). Revision C-duplex (option study), 1 Nov 2026.</t>
        </is>
      </c>
    </row>
    <row r="3">
      <c r="A3" s="2" t="inlineStr">
        <is>
          <t>Dimensions in feet. Centreline sizes match the plan grid; clear sizes are wall face to wall face after plaster.</t>
        </is>
      </c>
    </row>
    <row r="4">
      <c r="A4" s="2" t="inlineStr"/>
    </row>
    <row r="5">
      <c r="A5" s="1" t="inlineStr">
        <is>
          <t>How to use</t>
        </is>
      </c>
    </row>
    <row r="6">
      <c r="A6" s="2" t="inlineStr">
        <is>
          <t>Yellow cells are for you to fill in (budget estimates, chosen products, status). Everything else is calculated or drawn from the plan.</t>
        </is>
      </c>
    </row>
    <row r="7">
      <c r="A7" s="2" t="inlineStr">
        <is>
          <t>Example: in Furniture, type 18000 in 'Est. unit cost (Rs)' for an item costing Rs 18,000; the line total and grand total update automatically.</t>
        </is>
      </c>
    </row>
    <row r="8">
      <c r="A8" s="2" t="inlineStr">
        <is>
          <t>Areas, heights and totals are formulas, so editing a room's size updates its area.</t>
        </is>
      </c>
    </row>
    <row r="9">
      <c r="A9" s="2" t="inlineStr"/>
    </row>
    <row r="10">
      <c r="A10" s="1" t="inlineStr">
        <is>
          <t>Tabs</t>
        </is>
      </c>
    </row>
    <row r="11">
      <c r="A11" s="2" t="inlineStr">
        <is>
          <t>Rooms: room sizes and areas.  Doors / Windows: opening sizes and types.  Furniture: every furniture item, fixture and built-in, with budget columns.</t>
        </is>
      </c>
    </row>
    <row r="12">
      <c r="A12" s="2" t="inlineStr">
        <is>
          <t>Finishes: floor, wall and ceiling finishes.  Specification: materials and why (Guntur conditions).  Quantities: take-off for pricing, with rate cells.</t>
        </is>
      </c>
    </row>
    <row r="13">
      <c r="A13" s="2" t="inlineStr">
        <is>
          <t>Electrical / Plumbing: every point with room and height.  Checklist: room-by-room mistakes to avoid, with a status column.  Hold_Points: inspections before work is covered.</t>
        </is>
      </c>
    </row>
    <row r="14">
      <c r="A14" s="2" t="inlineStr">
        <is>
          <t>Open_Issues: items to resolve with professionals.  Decisions: what has been agreed so far.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22"/>
  <sheetViews>
    <sheetView workbookViewId="0">
      <pane ySplit="1" topLeftCell="A2" activePane="bottomLeft" state="frozen"/>
      <selection pane="bottomLeft" activeCell="A1" sqref="A1"/>
    </sheetView>
  </sheetViews>
  <sheetFormatPr baseColWidth="8" defaultRowHeight="15"/>
  <cols>
    <col width="7" customWidth="1" min="1" max="1"/>
    <col width="24" customWidth="1" min="2" max="2"/>
    <col width="14" customWidth="1" min="3" max="3"/>
    <col width="9" customWidth="1" min="4" max="4"/>
    <col width="9" customWidth="1" min="5" max="5"/>
    <col width="11" customWidth="1" min="6" max="6"/>
    <col width="11" customWidth="1" min="7" max="7"/>
    <col width="10" customWidth="1" min="8" max="8"/>
    <col width="10" customWidth="1" min="9" max="9"/>
    <col width="11" customWidth="1" min="10" max="10"/>
    <col width="11" customWidth="1" min="11" max="11"/>
    <col width="16" customWidth="1" min="12" max="12"/>
    <col width="34" customWidth="1" min="13" max="13"/>
  </cols>
  <sheetData>
    <row r="1" ht="30" customHeight="1">
      <c r="A1" s="3" t="inlineStr">
        <is>
          <t>ID</t>
        </is>
      </c>
      <c r="B1" s="3" t="inlineStr">
        <is>
          <t>Room</t>
        </is>
      </c>
      <c r="C1" s="3" t="inlineStr">
        <is>
          <t>Zone</t>
        </is>
      </c>
      <c r="D1" s="3" t="inlineStr">
        <is>
          <t>E-W (ft)</t>
        </is>
      </c>
      <c r="E1" s="3" t="inlineStr">
        <is>
          <t>N-S (ft)</t>
        </is>
      </c>
      <c r="F1" s="3" t="inlineStr">
        <is>
          <t>Area (sq ft)</t>
        </is>
      </c>
      <c r="G1" s="3" t="inlineStr">
        <is>
          <t>Area (sq m)</t>
        </is>
      </c>
      <c r="H1" s="3" t="inlineStr">
        <is>
          <t>Clear E-W (ft)</t>
        </is>
      </c>
      <c r="I1" s="3" t="inlineStr">
        <is>
          <t>Clear N-S (ft)</t>
        </is>
      </c>
      <c r="J1" s="3" t="inlineStr">
        <is>
          <t>Clear area (sq ft)</t>
        </is>
      </c>
      <c r="K1" s="3" t="inlineStr">
        <is>
          <t>Floor level</t>
        </is>
      </c>
      <c r="L1" s="3" t="inlineStr">
        <is>
          <t>Ceiling</t>
        </is>
      </c>
      <c r="M1" s="3" t="inlineStr">
        <is>
          <t>Notes</t>
        </is>
      </c>
    </row>
    <row r="2">
      <c r="A2" s="4" t="inlineStr">
        <is>
          <t>R01</t>
        </is>
      </c>
      <c r="B2" s="4" t="inlineStr">
        <is>
          <t>Master bedroom</t>
        </is>
      </c>
      <c r="C2" s="4" t="inlineStr">
        <is>
          <t>Master suite</t>
        </is>
      </c>
      <c r="D2" s="4" t="n">
        <v>12</v>
      </c>
      <c r="E2" s="4" t="n">
        <v>12.5</v>
      </c>
      <c r="F2" s="5">
        <f>D2*E2</f>
        <v/>
      </c>
      <c r="G2" s="5">
        <f>F2*0.092903</f>
        <v/>
      </c>
      <c r="H2" s="5" t="n">
        <v>11.34</v>
      </c>
      <c r="I2" s="5" t="n">
        <v>11.91</v>
      </c>
      <c r="J2" s="5">
        <f>H2*I2</f>
        <v/>
      </c>
      <c r="K2" s="4" t="inlineStr">
        <is>
          <t>+2'-0"</t>
        </is>
      </c>
      <c r="L2" s="4" t="inlineStr">
        <is>
          <t>Flat 9'-5"</t>
        </is>
      </c>
      <c r="M2" s="4" t="inlineStr"/>
    </row>
    <row r="3">
      <c r="A3" s="4" t="inlineStr">
        <is>
          <t>R02</t>
        </is>
      </c>
      <c r="B3" s="4" t="inlineStr">
        <is>
          <t>Master bath</t>
        </is>
      </c>
      <c r="C3" s="4" t="inlineStr">
        <is>
          <t>Master suite</t>
        </is>
      </c>
      <c r="D3" s="4" t="n">
        <v>5.5</v>
      </c>
      <c r="E3" s="4" t="n">
        <v>7</v>
      </c>
      <c r="F3" s="5">
        <f>D3*E3</f>
        <v/>
      </c>
      <c r="G3" s="5">
        <f>F3*0.092903</f>
        <v/>
      </c>
      <c r="H3" s="5" t="n">
        <v>4.92</v>
      </c>
      <c r="I3" s="5" t="n">
        <v>6.33</v>
      </c>
      <c r="J3" s="5">
        <f>H3*I3</f>
        <v/>
      </c>
      <c r="K3" s="4" t="inlineStr">
        <is>
          <t>+1'-11.5"</t>
        </is>
      </c>
      <c r="L3" s="4" t="inlineStr">
        <is>
          <t>Flat 8'-6"</t>
        </is>
      </c>
      <c r="M3" s="4" t="inlineStr"/>
    </row>
    <row r="4">
      <c r="A4" s="4" t="inlineStr">
        <is>
          <t>R03</t>
        </is>
      </c>
      <c r="B4" s="4" t="inlineStr">
        <is>
          <t>Common bath</t>
        </is>
      </c>
      <c r="C4" s="4" t="inlineStr">
        <is>
          <t>Service</t>
        </is>
      </c>
      <c r="D4" s="4" t="n">
        <v>4.5</v>
      </c>
      <c r="E4" s="4" t="n">
        <v>7</v>
      </c>
      <c r="F4" s="5">
        <f>D4*E4</f>
        <v/>
      </c>
      <c r="G4" s="5">
        <f>F4*0.092903</f>
        <v/>
      </c>
      <c r="H4" s="5" t="n">
        <v>3.92</v>
      </c>
      <c r="I4" s="5" t="n">
        <v>6.33</v>
      </c>
      <c r="J4" s="5">
        <f>H4*I4</f>
        <v/>
      </c>
      <c r="K4" s="4" t="inlineStr">
        <is>
          <t>+1'-11.5"</t>
        </is>
      </c>
      <c r="L4" s="4" t="inlineStr">
        <is>
          <t>Flat 8'-6"</t>
        </is>
      </c>
      <c r="M4" s="4" t="inlineStr"/>
    </row>
    <row r="5">
      <c r="A5" s="4" t="inlineStr">
        <is>
          <t>R04</t>
        </is>
      </c>
      <c r="B5" s="4" t="inlineStr">
        <is>
          <t>Small bedroom</t>
        </is>
      </c>
      <c r="C5" s="4" t="inlineStr">
        <is>
          <t>Private</t>
        </is>
      </c>
      <c r="D5" s="4" t="n">
        <v>12</v>
      </c>
      <c r="E5" s="4" t="n">
        <v>9.5</v>
      </c>
      <c r="F5" s="5">
        <f>D5*E5</f>
        <v/>
      </c>
      <c r="G5" s="5">
        <f>F5*0.092903</f>
        <v/>
      </c>
      <c r="H5" s="5" t="n">
        <v>11.41</v>
      </c>
      <c r="I5" s="5" t="n">
        <v>8.91</v>
      </c>
      <c r="J5" s="5">
        <f>H5*I5</f>
        <v/>
      </c>
      <c r="K5" s="4" t="inlineStr">
        <is>
          <t>+2'-0"</t>
        </is>
      </c>
      <c r="L5" s="4" t="inlineStr">
        <is>
          <t>Flat 9'-5"</t>
        </is>
      </c>
      <c r="M5" s="4" t="inlineStr"/>
    </row>
    <row r="6">
      <c r="A6" s="4" t="inlineStr">
        <is>
          <t>R05</t>
        </is>
      </c>
      <c r="B6" s="4" t="inlineStr">
        <is>
          <t>Lobby</t>
        </is>
      </c>
      <c r="C6" s="4" t="inlineStr">
        <is>
          <t>Circulation</t>
        </is>
      </c>
      <c r="D6" s="4" t="n">
        <v>10</v>
      </c>
      <c r="E6" s="4" t="n">
        <v>3.5</v>
      </c>
      <c r="F6" s="5">
        <f>D6*E6</f>
        <v/>
      </c>
      <c r="G6" s="5">
        <f>F6*0.092903</f>
        <v/>
      </c>
      <c r="H6" s="5" t="n">
        <v>9.789999999999999</v>
      </c>
      <c r="I6" s="5" t="n">
        <v>3.21</v>
      </c>
      <c r="J6" s="5">
        <f>H6*I6</f>
        <v/>
      </c>
      <c r="K6" s="4" t="inlineStr">
        <is>
          <t>+2'-0"</t>
        </is>
      </c>
      <c r="L6" s="4" t="inlineStr">
        <is>
          <t>Flat 9'-5"</t>
        </is>
      </c>
      <c r="M6" s="4" t="inlineStr"/>
    </row>
    <row r="7">
      <c r="A7" s="4" t="inlineStr">
        <is>
          <t>R06</t>
        </is>
      </c>
      <c r="B7" s="4" t="inlineStr">
        <is>
          <t>Stair and passage</t>
        </is>
      </c>
      <c r="C7" s="4" t="inlineStr">
        <is>
          <t>Circulation</t>
        </is>
      </c>
      <c r="D7" s="4" t="n">
        <v>10</v>
      </c>
      <c r="E7" s="4" t="n">
        <v>11.5</v>
      </c>
      <c r="F7" s="5">
        <f>D7*E7</f>
        <v/>
      </c>
      <c r="G7" s="5">
        <f>F7*0.092903</f>
        <v/>
      </c>
      <c r="H7" s="5" t="n">
        <v>9.58</v>
      </c>
      <c r="I7" s="5" t="n">
        <v>11.12</v>
      </c>
      <c r="J7" s="5">
        <f>H7*I7</f>
        <v/>
      </c>
      <c r="K7" s="4" t="inlineStr">
        <is>
          <t>+2'-0"</t>
        </is>
      </c>
      <c r="L7" s="4" t="inlineStr">
        <is>
          <t>Sloped (open to the roof (stair))</t>
        </is>
      </c>
      <c r="M7" s="4" t="inlineStr">
        <is>
          <t>Dog-leg stair, jali to the living</t>
        </is>
      </c>
    </row>
    <row r="8">
      <c r="A8" s="4" t="inlineStr">
        <is>
          <t>R12</t>
        </is>
      </c>
      <c r="B8" s="4" t="inlineStr">
        <is>
          <t>Store</t>
        </is>
      </c>
      <c r="C8" s="4" t="inlineStr">
        <is>
          <t>Service</t>
        </is>
      </c>
      <c r="D8" s="4" t="n">
        <v>4</v>
      </c>
      <c r="E8" s="4" t="n">
        <v>4.5</v>
      </c>
      <c r="F8" s="5">
        <f>D8*E8</f>
        <v/>
      </c>
      <c r="G8" s="5">
        <f>F8*0.092903</f>
        <v/>
      </c>
      <c r="H8" s="5" t="n">
        <v>3.42</v>
      </c>
      <c r="I8" s="5" t="n">
        <v>3.92</v>
      </c>
      <c r="J8" s="5">
        <f>H8*I8</f>
        <v/>
      </c>
      <c r="K8" s="4" t="inlineStr">
        <is>
          <t>+2'-0"</t>
        </is>
      </c>
      <c r="L8" s="4" t="inlineStr">
        <is>
          <t>Flat 9'-5"</t>
        </is>
      </c>
      <c r="M8" s="4" t="inlineStr"/>
    </row>
    <row r="9">
      <c r="A9" s="4" t="inlineStr">
        <is>
          <t>R13</t>
        </is>
      </c>
      <c r="B9" s="4" t="inlineStr">
        <is>
          <t>Wet area</t>
        </is>
      </c>
      <c r="C9" s="4" t="inlineStr">
        <is>
          <t>Service</t>
        </is>
      </c>
      <c r="D9" s="4" t="n">
        <v>6</v>
      </c>
      <c r="E9" s="4" t="n">
        <v>4.5</v>
      </c>
      <c r="F9" s="5">
        <f>D9*E9</f>
        <v/>
      </c>
      <c r="G9" s="5">
        <f>F9*0.092903</f>
        <v/>
      </c>
      <c r="H9" s="5" t="n">
        <v>5.5</v>
      </c>
      <c r="I9" s="5" t="n">
        <v>3.92</v>
      </c>
      <c r="J9" s="5">
        <f>H9*I9</f>
        <v/>
      </c>
      <c r="K9" s="4" t="inlineStr">
        <is>
          <t>+1'-9"</t>
        </is>
      </c>
      <c r="L9" s="4" t="inlineStr">
        <is>
          <t>Flat 9'-5"</t>
        </is>
      </c>
      <c r="M9" s="4" t="inlineStr"/>
    </row>
    <row r="10">
      <c r="A10" s="4" t="inlineStr">
        <is>
          <t>R10</t>
        </is>
      </c>
      <c r="B10" s="4" t="inlineStr">
        <is>
          <t>Dining</t>
        </is>
      </c>
      <c r="C10" s="4" t="inlineStr">
        <is>
          <t>Living</t>
        </is>
      </c>
      <c r="D10" s="4" t="n">
        <v>10</v>
      </c>
      <c r="E10" s="4" t="n">
        <v>5</v>
      </c>
      <c r="F10" s="5">
        <f>D10*E10</f>
        <v/>
      </c>
      <c r="G10" s="5">
        <f>F10*0.092903</f>
        <v/>
      </c>
      <c r="H10" s="5" t="n">
        <v>9.5</v>
      </c>
      <c r="I10" s="5" t="n">
        <v>4.79</v>
      </c>
      <c r="J10" s="5">
        <f>H10*I10</f>
        <v/>
      </c>
      <c r="K10" s="4" t="inlineStr">
        <is>
          <t>+2'-0"</t>
        </is>
      </c>
      <c r="L10" s="4" t="inlineStr">
        <is>
          <t>Flat 9'-5"</t>
        </is>
      </c>
      <c r="M10" s="4" t="inlineStr">
        <is>
          <t>Open to the living</t>
        </is>
      </c>
    </row>
    <row r="11">
      <c r="A11" s="4" t="inlineStr">
        <is>
          <t>R15</t>
        </is>
      </c>
      <c r="B11" s="4" t="inlineStr">
        <is>
          <t>Kitchen</t>
        </is>
      </c>
      <c r="C11" s="4" t="inlineStr">
        <is>
          <t>Service</t>
        </is>
      </c>
      <c r="D11" s="4" t="n">
        <v>12</v>
      </c>
      <c r="E11" s="4" t="n">
        <v>9.5</v>
      </c>
      <c r="F11" s="5">
        <f>D11*E11</f>
        <v/>
      </c>
      <c r="G11" s="5">
        <f>F11*0.092903</f>
        <v/>
      </c>
      <c r="H11" s="5" t="n">
        <v>11.41</v>
      </c>
      <c r="I11" s="5" t="n">
        <v>8.75</v>
      </c>
      <c r="J11" s="5">
        <f>H11*I11</f>
        <v/>
      </c>
      <c r="K11" s="4" t="inlineStr">
        <is>
          <t>+2'-0"</t>
        </is>
      </c>
      <c r="L11" s="4" t="inlineStr">
        <is>
          <t>Flat 9'-5"</t>
        </is>
      </c>
      <c r="M11" s="4" t="inlineStr"/>
    </row>
    <row r="12">
      <c r="A12" s="4" t="inlineStr">
        <is>
          <t>R16</t>
        </is>
      </c>
      <c r="B12" s="4" t="inlineStr">
        <is>
          <t>Living</t>
        </is>
      </c>
      <c r="C12" s="4" t="inlineStr">
        <is>
          <t>Living</t>
        </is>
      </c>
      <c r="D12" s="4" t="n">
        <v>16</v>
      </c>
      <c r="E12" s="4" t="n">
        <v>12.5</v>
      </c>
      <c r="F12" s="5">
        <f>D12*E12</f>
        <v/>
      </c>
      <c r="G12" s="5">
        <f>F12*0.092903</f>
        <v/>
      </c>
      <c r="H12" s="5" t="n">
        <v>15.41</v>
      </c>
      <c r="I12" s="5" t="n">
        <v>11.75</v>
      </c>
      <c r="J12" s="5">
        <f>H12*I12</f>
        <v/>
      </c>
      <c r="K12" s="4" t="inlineStr">
        <is>
          <t>+2'-0"</t>
        </is>
      </c>
      <c r="L12" s="4" t="inlineStr">
        <is>
          <t>Flat 9'-5"</t>
        </is>
      </c>
      <c r="M12" s="4" t="inlineStr">
        <is>
          <t>Slab above is the covered terrace</t>
        </is>
      </c>
    </row>
    <row r="13">
      <c r="A13" s="4" t="inlineStr">
        <is>
          <t>R11</t>
        </is>
      </c>
      <c r="B13" s="4" t="inlineStr">
        <is>
          <t>Pooja</t>
        </is>
      </c>
      <c r="C13" s="4" t="inlineStr">
        <is>
          <t>Living</t>
        </is>
      </c>
      <c r="D13" s="4" t="n">
        <v>4</v>
      </c>
      <c r="E13" s="4" t="n">
        <v>4</v>
      </c>
      <c r="F13" s="5">
        <f>D13*E13</f>
        <v/>
      </c>
      <c r="G13" s="5">
        <f>F13*0.092903</f>
        <v/>
      </c>
      <c r="H13" s="5" t="n">
        <v>3.42</v>
      </c>
      <c r="I13" s="5" t="n">
        <v>3.42</v>
      </c>
      <c r="J13" s="5">
        <f>H13*I13</f>
        <v/>
      </c>
      <c r="K13" s="4" t="inlineStr">
        <is>
          <t>+2'-3"</t>
        </is>
      </c>
      <c r="L13" s="4" t="inlineStr">
        <is>
          <t>Flat 9'-0"</t>
        </is>
      </c>
      <c r="M13" s="4" t="inlineStr"/>
    </row>
    <row r="14">
      <c r="A14" s="4" t="inlineStr">
        <is>
          <t>R17</t>
        </is>
      </c>
      <c r="B14" s="4" t="inlineStr">
        <is>
          <t>Poomukham (verandah)</t>
        </is>
      </c>
      <c r="C14" s="4" t="inlineStr">
        <is>
          <t>Entry</t>
        </is>
      </c>
      <c r="D14" s="4" t="n">
        <v>6</v>
      </c>
      <c r="E14" s="4" t="n">
        <v>12.5</v>
      </c>
      <c r="F14" s="5">
        <f>D14*E14</f>
        <v/>
      </c>
      <c r="G14" s="5">
        <f>F14*0.092903</f>
        <v/>
      </c>
      <c r="H14" s="5" t="n">
        <v>5.62</v>
      </c>
      <c r="I14" s="5" t="n">
        <v>12.12</v>
      </c>
      <c r="J14" s="5">
        <f>H14*I14</f>
        <v/>
      </c>
      <c r="K14" s="4" t="inlineStr">
        <is>
          <t>+1'-6"</t>
        </is>
      </c>
      <c r="L14" s="4" t="inlineStr">
        <is>
          <t>Sloped (exposed rafters)</t>
        </is>
      </c>
      <c r="M14" s="4" t="inlineStr">
        <is>
          <t>Open verandah</t>
        </is>
      </c>
    </row>
    <row r="15">
      <c r="A15" s="4" t="inlineStr">
        <is>
          <t>R31</t>
        </is>
      </c>
      <c r="B15" s="4" t="inlineStr">
        <is>
          <t>Upper master bedroom (1st floor)</t>
        </is>
      </c>
      <c r="C15" s="4" t="inlineStr">
        <is>
          <t>Upper suite</t>
        </is>
      </c>
      <c r="D15" s="4" t="n">
        <v>12</v>
      </c>
      <c r="E15" s="4" t="n">
        <v>12.5</v>
      </c>
      <c r="F15" s="5">
        <f>D15*E15</f>
        <v/>
      </c>
      <c r="G15" s="5">
        <f>F15*0.092903</f>
        <v/>
      </c>
      <c r="H15" s="5" t="n">
        <v>11.41</v>
      </c>
      <c r="I15" s="5" t="n">
        <v>11.91</v>
      </c>
      <c r="J15" s="5">
        <f>H15*I15</f>
        <v/>
      </c>
      <c r="K15" s="4" t="inlineStr">
        <is>
          <t>+12'-0"</t>
        </is>
      </c>
      <c r="L15" s="4" t="inlineStr">
        <is>
          <t>Flat 9'-6"</t>
        </is>
      </c>
      <c r="M15" s="4" t="inlineStr"/>
    </row>
    <row r="16">
      <c r="A16" s="4" t="inlineStr">
        <is>
          <t>R32</t>
        </is>
      </c>
      <c r="B16" s="4" t="inlineStr">
        <is>
          <t>Dressing (1st floor)</t>
        </is>
      </c>
      <c r="C16" s="4" t="inlineStr">
        <is>
          <t>Upper suite</t>
        </is>
      </c>
      <c r="D16" s="4" t="n">
        <v>5.5</v>
      </c>
      <c r="E16" s="4" t="n">
        <v>7</v>
      </c>
      <c r="F16" s="5">
        <f>D16*E16</f>
        <v/>
      </c>
      <c r="G16" s="5">
        <f>F16*0.092903</f>
        <v/>
      </c>
      <c r="H16" s="5" t="n">
        <v>5</v>
      </c>
      <c r="I16" s="5" t="n">
        <v>6.42</v>
      </c>
      <c r="J16" s="5">
        <f>H16*I16</f>
        <v/>
      </c>
      <c r="K16" s="4" t="inlineStr">
        <is>
          <t>+12'-0"</t>
        </is>
      </c>
      <c r="L16" s="4" t="inlineStr">
        <is>
          <t>Flat 9'-6"</t>
        </is>
      </c>
      <c r="M16" s="4" t="inlineStr"/>
    </row>
    <row r="17">
      <c r="A17" s="4" t="inlineStr">
        <is>
          <t>R33</t>
        </is>
      </c>
      <c r="B17" s="4" t="inlineStr">
        <is>
          <t>Upper master bath (1st floor)</t>
        </is>
      </c>
      <c r="C17" s="4" t="inlineStr">
        <is>
          <t>Upper suite</t>
        </is>
      </c>
      <c r="D17" s="4" t="n">
        <v>4.5</v>
      </c>
      <c r="E17" s="4" t="n">
        <v>7</v>
      </c>
      <c r="F17" s="5">
        <f>D17*E17</f>
        <v/>
      </c>
      <c r="G17" s="5">
        <f>F17*0.092903</f>
        <v/>
      </c>
      <c r="H17" s="5" t="n">
        <v>3.83</v>
      </c>
      <c r="I17" s="5" t="n">
        <v>6.42</v>
      </c>
      <c r="J17" s="5">
        <f>H17*I17</f>
        <v/>
      </c>
      <c r="K17" s="4" t="inlineStr">
        <is>
          <t>+11'-11.5"</t>
        </is>
      </c>
      <c r="L17" s="4" t="inlineStr">
        <is>
          <t>Flat 8'-6"</t>
        </is>
      </c>
      <c r="M17" s="4" t="inlineStr">
        <is>
          <t>Over the common bath</t>
        </is>
      </c>
    </row>
    <row r="18">
      <c r="A18" s="4" t="inlineStr">
        <is>
          <t>R34</t>
        </is>
      </c>
      <c r="B18" s="4" t="inlineStr">
        <is>
          <t>Landing (1st floor)</t>
        </is>
      </c>
      <c r="C18" s="4" t="inlineStr">
        <is>
          <t>Circulation</t>
        </is>
      </c>
      <c r="D18" s="4" t="n">
        <v>10</v>
      </c>
      <c r="E18" s="4" t="n">
        <v>4</v>
      </c>
      <c r="F18" s="5">
        <f>D18*E18</f>
        <v/>
      </c>
      <c r="G18" s="5">
        <f>F18*0.092903</f>
        <v/>
      </c>
      <c r="H18" s="5" t="n">
        <v>9.41</v>
      </c>
      <c r="I18" s="5" t="n">
        <v>3.79</v>
      </c>
      <c r="J18" s="5">
        <f>H18*I18</f>
        <v/>
      </c>
      <c r="K18" s="4" t="inlineStr">
        <is>
          <t>+12'-0"</t>
        </is>
      </c>
      <c r="L18" s="4" t="inlineStr">
        <is>
          <t>Sloped (follows roof)</t>
        </is>
      </c>
      <c r="M18" s="4" t="inlineStr"/>
    </row>
    <row r="19">
      <c r="A19" s="4" t="inlineStr">
        <is>
          <t>R35</t>
        </is>
      </c>
      <c r="B19" s="4" t="inlineStr">
        <is>
          <t>Upper passage (1st floor)</t>
        </is>
      </c>
      <c r="C19" s="4" t="inlineStr">
        <is>
          <t>Circulation</t>
        </is>
      </c>
      <c r="D19" s="4" t="n">
        <v>2.5</v>
      </c>
      <c r="E19" s="4" t="n">
        <v>11</v>
      </c>
      <c r="F19" s="5">
        <f>D19*E19</f>
        <v/>
      </c>
      <c r="G19" s="5">
        <f>F19*0.092903</f>
        <v/>
      </c>
      <c r="H19" s="5" t="n">
        <v>2.29</v>
      </c>
      <c r="I19" s="5" t="n">
        <v>10.62</v>
      </c>
      <c r="J19" s="5">
        <f>H19*I19</f>
        <v/>
      </c>
      <c r="K19" s="4" t="inlineStr">
        <is>
          <t>+12'-0"</t>
        </is>
      </c>
      <c r="L19" s="4" t="inlineStr">
        <is>
          <t>Sloped (follows roof)</t>
        </is>
      </c>
      <c r="M19" s="4" t="inlineStr"/>
    </row>
    <row r="20">
      <c r="A20" s="4" t="inlineStr">
        <is>
          <t>R36</t>
        </is>
      </c>
      <c r="B20" s="4" t="inlineStr">
        <is>
          <t>Outdoor lounge (covered) (1st floor)</t>
        </is>
      </c>
      <c r="C20" s="4" t="inlineStr">
        <is>
          <t>Upper suite</t>
        </is>
      </c>
      <c r="D20" s="4" t="n">
        <v>12</v>
      </c>
      <c r="E20" s="4" t="n">
        <v>9.5</v>
      </c>
      <c r="F20" s="5">
        <f>D20*E20</f>
        <v/>
      </c>
      <c r="G20" s="5">
        <f>F20*0.092903</f>
        <v/>
      </c>
      <c r="H20" s="5" t="n">
        <v>11.79</v>
      </c>
      <c r="I20" s="5" t="n">
        <v>9.289999999999999</v>
      </c>
      <c r="J20" s="5">
        <f>H20*I20</f>
        <v/>
      </c>
      <c r="K20" s="4" t="inlineStr">
        <is>
          <t>+11'-9"</t>
        </is>
      </c>
      <c r="L20" s="4" t="inlineStr">
        <is>
          <t>Sloped (exposed rafters)</t>
        </is>
      </c>
      <c r="M20" s="4" t="inlineStr">
        <is>
          <t>Covered by the main roof, railings on two sides</t>
        </is>
      </c>
    </row>
    <row r="21">
      <c r="A21" s="4" t="inlineStr">
        <is>
          <t>R37</t>
        </is>
      </c>
      <c r="B21" s="4" t="inlineStr">
        <is>
          <t>Covered terrace (1st floor)</t>
        </is>
      </c>
      <c r="C21" s="4" t="inlineStr">
        <is>
          <t>Terrace</t>
        </is>
      </c>
      <c r="D21" s="4" t="n">
        <v>16</v>
      </c>
      <c r="E21" s="4" t="n">
        <v>22</v>
      </c>
      <c r="F21" s="5">
        <f>D21*E21</f>
        <v/>
      </c>
      <c r="G21" s="5">
        <f>F21*0.092903</f>
        <v/>
      </c>
      <c r="H21" s="5" t="n">
        <v>15.62</v>
      </c>
      <c r="I21" s="5" t="n">
        <v>22</v>
      </c>
      <c r="J21" s="5">
        <f>H21*I21</f>
        <v/>
      </c>
      <c r="K21" s="4" t="inlineStr">
        <is>
          <t>+11'-9"</t>
        </is>
      </c>
      <c r="L21" s="4" t="inlineStr">
        <is>
          <t>Sloped (steel trusses, tiled roof above)</t>
        </is>
      </c>
      <c r="M21" s="4" t="inlineStr">
        <is>
          <t>Under the main roof on steel posts, railings on three sides</t>
        </is>
      </c>
    </row>
    <row r="22">
      <c r="A22" s="6" t="inlineStr"/>
      <c r="B22" s="6" t="inlineStr">
        <is>
          <t>Total</t>
        </is>
      </c>
      <c r="C22" s="6" t="inlineStr"/>
      <c r="D22" s="6" t="inlineStr"/>
      <c r="E22" s="6" t="inlineStr"/>
      <c r="F22" s="7">
        <f>SUM(F2:F21)</f>
        <v/>
      </c>
      <c r="G22" s="7">
        <f>SUM(G2:G21)</f>
        <v/>
      </c>
      <c r="H22" s="7" t="inlineStr"/>
      <c r="I22" s="7" t="inlineStr"/>
      <c r="J22" s="7">
        <f>SUM(J2:J21)</f>
        <v/>
      </c>
      <c r="K22" s="6" t="inlineStr"/>
      <c r="L22" s="6" t="inlineStr"/>
      <c r="M22" s="6" t="inlineStr">
        <is>
          <t>Footprint 44' x 22' = 968 sq ft (ground); first floor about 330 sq ft enclosed + lounge</t>
        </is>
      </c>
    </row>
  </sheetData>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I17"/>
  <sheetViews>
    <sheetView workbookViewId="0">
      <pane ySplit="1" topLeftCell="A2" activePane="bottomLeft" state="frozen"/>
      <selection pane="bottomLeft" activeCell="A1" sqref="A1"/>
    </sheetView>
  </sheetViews>
  <sheetFormatPr baseColWidth="8" defaultRowHeight="15"/>
  <cols>
    <col width="7" customWidth="1" min="1" max="1"/>
    <col width="26" customWidth="1" min="2" max="2"/>
    <col width="10" customWidth="1" min="3" max="3"/>
    <col width="10" customWidth="1" min="4" max="4"/>
    <col width="14" customWidth="1" min="5" max="5"/>
    <col width="40" customWidth="1" min="6" max="6"/>
    <col width="44" customWidth="1" min="7" max="7"/>
    <col width="26" customWidth="1" min="8" max="8"/>
    <col width="14" customWidth="1" min="9" max="9"/>
  </cols>
  <sheetData>
    <row r="1" ht="30" customHeight="1">
      <c r="A1" s="3" t="inlineStr">
        <is>
          <t>ID</t>
        </is>
      </c>
      <c r="B1" s="3" t="inlineStr">
        <is>
          <t>Location</t>
        </is>
      </c>
      <c r="C1" s="3" t="inlineStr">
        <is>
          <t>Width (ft)</t>
        </is>
      </c>
      <c r="D1" s="3" t="inlineStr">
        <is>
          <t>Height (ft)</t>
        </is>
      </c>
      <c r="E1" s="3" t="inlineStr">
        <is>
          <t>Operation</t>
        </is>
      </c>
      <c r="F1" s="3" t="inlineStr">
        <is>
          <t>Type / material</t>
        </is>
      </c>
      <c r="G1" s="3" t="inlineStr">
        <is>
          <t>Vent above (7'-6" to 9'-0")</t>
        </is>
      </c>
      <c r="H1" s="3" t="inlineStr">
        <is>
          <t>Chosen product</t>
        </is>
      </c>
      <c r="I1" s="3" t="inlineStr">
        <is>
          <t>Status</t>
        </is>
      </c>
    </row>
    <row r="2">
      <c r="A2" s="4" t="inlineStr">
        <is>
          <t>D01</t>
        </is>
      </c>
      <c r="B2" s="4" t="inlineStr">
        <is>
          <t>Main entrance (centred under the front gable)</t>
        </is>
      </c>
      <c r="C2" s="4" t="n">
        <v>3</v>
      </c>
      <c r="D2" s="4" t="n">
        <v>7</v>
      </c>
      <c r="E2" s="4" t="inlineStr">
        <is>
          <t>Hinged, double</t>
        </is>
      </c>
      <c r="F2" s="4" t="inlineStr">
        <is>
          <t>Teak panelled, double leaf</t>
        </is>
      </c>
      <c r="G2" s="4" t="inlineStr">
        <is>
          <t>-</t>
        </is>
      </c>
      <c r="H2" s="8" t="inlineStr"/>
      <c r="I2" s="8" t="inlineStr"/>
    </row>
    <row r="3">
      <c r="A3" s="4" t="inlineStr">
        <is>
          <t>D02</t>
        </is>
      </c>
      <c r="B3" s="4" t="inlineStr">
        <is>
          <t>Master bedroom (from the lobby)</t>
        </is>
      </c>
      <c r="C3" s="4" t="n">
        <v>2.8</v>
      </c>
      <c r="D3" s="4" t="n">
        <v>7</v>
      </c>
      <c r="E3" s="4" t="inlineStr">
        <is>
          <t>Hinged, single</t>
        </is>
      </c>
      <c r="F3" s="4" t="inlineStr">
        <is>
          <t>Flush, teak veneer</t>
        </is>
      </c>
      <c r="G3" s="4" t="inlineStr">
        <is>
          <t>-</t>
        </is>
      </c>
      <c r="H3" s="8" t="inlineStr"/>
      <c r="I3" s="8" t="inlineStr"/>
    </row>
    <row r="4">
      <c r="A4" s="4" t="inlineStr">
        <is>
          <t>D03</t>
        </is>
      </c>
      <c r="B4" s="4" t="inlineStr">
        <is>
          <t>Master bath (from the master bedroom, opens outward)</t>
        </is>
      </c>
      <c r="C4" s="4" t="n">
        <v>2.5</v>
      </c>
      <c r="D4" s="4" t="n">
        <v>7</v>
      </c>
      <c r="E4" s="4" t="inlineStr">
        <is>
          <t>Hinged, single</t>
        </is>
      </c>
      <c r="F4" s="4" t="inlineStr">
        <is>
          <t>Flush, waterproof (WPC/FRP)</t>
        </is>
      </c>
      <c r="G4" s="4" t="inlineStr">
        <is>
          <t>-</t>
        </is>
      </c>
      <c r="H4" s="8" t="inlineStr"/>
      <c r="I4" s="8" t="inlineStr"/>
    </row>
    <row r="5">
      <c r="A5" s="4" t="inlineStr">
        <is>
          <t>D04</t>
        </is>
      </c>
      <c r="B5" s="4" t="inlineStr">
        <is>
          <t>Common bath (from the lobby, opens outward)</t>
        </is>
      </c>
      <c r="C5" s="4" t="n">
        <v>2.5</v>
      </c>
      <c r="D5" s="4" t="n">
        <v>7</v>
      </c>
      <c r="E5" s="4" t="inlineStr">
        <is>
          <t>Hinged, single</t>
        </is>
      </c>
      <c r="F5" s="4" t="inlineStr">
        <is>
          <t>Flush, waterproof (WPC/FRP), door closer</t>
        </is>
      </c>
      <c r="G5" s="4" t="inlineStr">
        <is>
          <t>-</t>
        </is>
      </c>
      <c r="H5" s="8" t="inlineStr"/>
      <c r="I5" s="8" t="inlineStr"/>
    </row>
    <row r="6">
      <c r="A6" s="4" t="inlineStr">
        <is>
          <t>D05</t>
        </is>
      </c>
      <c r="B6" s="4" t="inlineStr">
        <is>
          <t>Small bedroom (from the passage beside the stair)</t>
        </is>
      </c>
      <c r="C6" s="4" t="n">
        <v>2.6</v>
      </c>
      <c r="D6" s="4" t="n">
        <v>7</v>
      </c>
      <c r="E6" s="4" t="inlineStr">
        <is>
          <t>Hinged, single</t>
        </is>
      </c>
      <c r="F6" s="4" t="inlineStr">
        <is>
          <t>Flush, teak veneer</t>
        </is>
      </c>
      <c r="G6" s="4" t="inlineStr">
        <is>
          <t>-</t>
        </is>
      </c>
      <c r="H6" s="8" t="inlineStr"/>
      <c r="I6" s="8" t="inlineStr"/>
    </row>
    <row r="7">
      <c r="A7" s="4" t="inlineStr">
        <is>
          <t>D11</t>
        </is>
      </c>
      <c r="B7" s="4" t="inlineStr">
        <is>
          <t>Pooja</t>
        </is>
      </c>
      <c r="C7" s="4" t="n">
        <v>3</v>
      </c>
      <c r="D7" s="4" t="n">
        <v>7</v>
      </c>
      <c r="E7" s="4" t="inlineStr">
        <is>
          <t>Hinged, double</t>
        </is>
      </c>
      <c r="F7" s="4" t="inlineStr">
        <is>
          <t>Carved teak, double leaf (opens inward, clear of the living; faces west, family faces east)</t>
        </is>
      </c>
      <c r="G7" s="4" t="inlineStr">
        <is>
          <t>Teak jali vent in a frame: air passes freely (rooms with no sound-privacy need)</t>
        </is>
      </c>
      <c r="H7" s="8" t="inlineStr"/>
      <c r="I7" s="8" t="inlineStr"/>
    </row>
    <row r="8">
      <c r="A8" s="4" t="inlineStr">
        <is>
          <t>D12</t>
        </is>
      </c>
      <c r="B8" s="4" t="inlineStr">
        <is>
          <t>Kitchen to wet area (sliding)</t>
        </is>
      </c>
      <c r="C8" s="4" t="n">
        <v>2.5</v>
      </c>
      <c r="D8" s="4" t="n">
        <v>7</v>
      </c>
      <c r="E8" s="4" t="inlineStr">
        <is>
          <t>Sliding</t>
        </is>
      </c>
      <c r="F8" s="4" t="inlineStr">
        <is>
          <t>Steel or WPC sliding, lockable</t>
        </is>
      </c>
      <c r="G8" s="4" t="inlineStr">
        <is>
          <t>-</t>
        </is>
      </c>
      <c r="H8" s="8" t="inlineStr"/>
      <c r="I8" s="8" t="inlineStr"/>
    </row>
    <row r="9">
      <c r="A9" s="4" t="inlineStr">
        <is>
          <t>D17</t>
        </is>
      </c>
      <c r="B9" s="4" t="inlineStr">
        <is>
          <t>Kitchen entry (west, from the dining; hinged at the north jamb)</t>
        </is>
      </c>
      <c r="C9" s="4" t="n">
        <v>3</v>
      </c>
      <c r="D9" s="4" t="n">
        <v>7</v>
      </c>
      <c r="E9" s="4" t="inlineStr">
        <is>
          <t>Hinged, single</t>
        </is>
      </c>
      <c r="F9" s="4" t="inlineStr">
        <is>
          <t>Teak frame, glazed upper panel, 3 ft (closes off cooking smoke)</t>
        </is>
      </c>
      <c r="G9" s="4" t="inlineStr">
        <is>
          <t>-</t>
        </is>
      </c>
      <c r="H9" s="8" t="inlineStr"/>
      <c r="I9" s="8" t="inlineStr"/>
    </row>
    <row r="10">
      <c r="A10" s="4" t="inlineStr">
        <is>
          <t>D18</t>
        </is>
      </c>
      <c r="B10" s="4" t="inlineStr">
        <is>
          <t>Wet area service door to the south walkway (opens inward)</t>
        </is>
      </c>
      <c r="C10" s="4" t="n">
        <v>2.5</v>
      </c>
      <c r="D10" s="4" t="n">
        <v>7</v>
      </c>
      <c r="E10" s="4" t="inlineStr">
        <is>
          <t>Hinged, single</t>
        </is>
      </c>
      <c r="F10" s="4" t="inlineStr">
        <is>
          <t>Steel, lockable, louvred top</t>
        </is>
      </c>
      <c r="G10" s="4" t="inlineStr">
        <is>
          <t>-</t>
        </is>
      </c>
      <c r="H10" s="8" t="inlineStr"/>
      <c r="I10" s="8" t="inlineStr"/>
    </row>
    <row r="11">
      <c r="A11" s="4" t="inlineStr">
        <is>
          <t>D19</t>
        </is>
      </c>
      <c r="B11" s="4" t="inlineStr">
        <is>
          <t>Store (from the dining)</t>
        </is>
      </c>
      <c r="C11" s="4" t="n">
        <v>2.5</v>
      </c>
      <c r="D11" s="4" t="n">
        <v>7</v>
      </c>
      <c r="E11" s="4" t="inlineStr">
        <is>
          <t>Hinged, single</t>
        </is>
      </c>
      <c r="F11" s="4" t="inlineStr">
        <is>
          <t>Flush, teak veneer</t>
        </is>
      </c>
      <c r="G11" s="4" t="inlineStr">
        <is>
          <t>Teak jali vent in a frame: air passes freely (rooms with no sound-privacy need)</t>
        </is>
      </c>
      <c r="H11" s="8" t="inlineStr"/>
      <c r="I11" s="8" t="inlineStr"/>
    </row>
    <row r="12">
      <c r="A12" s="4" t="inlineStr">
        <is>
          <t>D31</t>
        </is>
      </c>
      <c r="B12" s="4" t="inlineStr">
        <is>
          <t>Upper master bedroom (from the landing)</t>
        </is>
      </c>
      <c r="C12" s="4" t="n">
        <v>2.8</v>
      </c>
      <c r="D12" s="4" t="n">
        <v>7</v>
      </c>
      <c r="E12" s="4" t="inlineStr">
        <is>
          <t>Hinged, single</t>
        </is>
      </c>
      <c r="F12" s="4" t="inlineStr">
        <is>
          <t>Flush, teak veneer</t>
        </is>
      </c>
      <c r="G12" s="4" t="inlineStr">
        <is>
          <t>-</t>
        </is>
      </c>
      <c r="H12" s="8" t="inlineStr"/>
      <c r="I12" s="8" t="inlineStr"/>
    </row>
    <row r="13">
      <c r="A13" s="4" t="inlineStr">
        <is>
          <t>D32</t>
        </is>
      </c>
      <c r="B13" s="4" t="inlineStr">
        <is>
          <t>Dressing (sliding, from the upper master)</t>
        </is>
      </c>
      <c r="C13" s="4" t="n">
        <v>2.5</v>
      </c>
      <c r="D13" s="4" t="n">
        <v>7</v>
      </c>
      <c r="E13" s="4" t="inlineStr">
        <is>
          <t>Sliding</t>
        </is>
      </c>
      <c r="F13" s="4" t="inlineStr">
        <is>
          <t>Sliding, teak veneer</t>
        </is>
      </c>
      <c r="G13" s="4" t="inlineStr">
        <is>
          <t>-</t>
        </is>
      </c>
      <c r="H13" s="8" t="inlineStr"/>
      <c r="I13" s="8" t="inlineStr"/>
    </row>
    <row r="14">
      <c r="A14" s="4" t="inlineStr">
        <is>
          <t>D33</t>
        </is>
      </c>
      <c r="B14" s="4" t="inlineStr">
        <is>
          <t>Upper master bath (from the dressing, opens outward; hinged at the north jamb)</t>
        </is>
      </c>
      <c r="C14" s="4" t="n">
        <v>2.5</v>
      </c>
      <c r="D14" s="4" t="n">
        <v>7</v>
      </c>
      <c r="E14" s="4" t="inlineStr">
        <is>
          <t>Hinged, single</t>
        </is>
      </c>
      <c r="F14" s="4" t="inlineStr">
        <is>
          <t>Flush, waterproof (WPC/FRP)</t>
        </is>
      </c>
      <c r="G14" s="4" t="inlineStr">
        <is>
          <t>-</t>
        </is>
      </c>
      <c r="H14" s="8" t="inlineStr"/>
      <c r="I14" s="8" t="inlineStr"/>
    </row>
    <row r="15">
      <c r="A15" s="4" t="inlineStr">
        <is>
          <t>D34</t>
        </is>
      </c>
      <c r="B15" s="4" t="inlineStr">
        <is>
          <t>Outdoor lounge (from the upper passage)</t>
        </is>
      </c>
      <c r="C15" s="4" t="n">
        <v>3</v>
      </c>
      <c r="D15" s="4" t="n">
        <v>7</v>
      </c>
      <c r="E15" s="4" t="inlineStr">
        <is>
          <t>Hinged, single</t>
        </is>
      </c>
      <c r="F15" s="4" t="inlineStr">
        <is>
          <t>Teak frame, glazed, 3 ft</t>
        </is>
      </c>
      <c r="G15" s="4" t="inlineStr">
        <is>
          <t>-</t>
        </is>
      </c>
      <c r="H15" s="8" t="inlineStr"/>
      <c r="I15" s="8" t="inlineStr"/>
    </row>
    <row r="16">
      <c r="A16" s="4" t="inlineStr">
        <is>
          <t>D35</t>
        </is>
      </c>
      <c r="B16" s="4" t="inlineStr">
        <is>
          <t>Upper master to the outdoor lounge</t>
        </is>
      </c>
      <c r="C16" s="4" t="n">
        <v>3</v>
      </c>
      <c r="D16" s="4" t="n">
        <v>7</v>
      </c>
      <c r="E16" s="4" t="inlineStr">
        <is>
          <t>Hinged, single</t>
        </is>
      </c>
      <c r="F16" s="4" t="inlineStr">
        <is>
          <t>Teak frame, glazed, 3 ft</t>
        </is>
      </c>
      <c r="G16" s="4" t="inlineStr">
        <is>
          <t>-</t>
        </is>
      </c>
      <c r="H16" s="8" t="inlineStr"/>
      <c r="I16" s="8" t="inlineStr"/>
    </row>
    <row r="17">
      <c r="A17" s="4" t="inlineStr">
        <is>
          <t>D36</t>
        </is>
      </c>
      <c r="B17" s="4" t="inlineStr">
        <is>
          <t>Covered terrace (from the landing, opens outward)</t>
        </is>
      </c>
      <c r="C17" s="4" t="n">
        <v>2.8</v>
      </c>
      <c r="D17" s="4" t="n">
        <v>7</v>
      </c>
      <c r="E17" s="4" t="inlineStr">
        <is>
          <t>Hinged, single</t>
        </is>
      </c>
      <c r="F17" s="4" t="inlineStr">
        <is>
          <t>Teak frame, glazed, 3 ft</t>
        </is>
      </c>
      <c r="G17" s="4" t="inlineStr">
        <is>
          <t>-</t>
        </is>
      </c>
      <c r="H17" s="8" t="inlineStr"/>
      <c r="I17" s="8"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1"/>
  <sheetViews>
    <sheetView workbookViewId="0">
      <pane ySplit="1" topLeftCell="A2" activePane="bottomLeft" state="frozen"/>
      <selection pane="bottomLeft" activeCell="A1" sqref="A1"/>
    </sheetView>
  </sheetViews>
  <sheetFormatPr baseColWidth="8" defaultRowHeight="15"/>
  <cols>
    <col width="7" customWidth="1" min="1" max="1"/>
    <col width="18" customWidth="1" min="2" max="2"/>
    <col width="10" customWidth="1" min="3" max="3"/>
    <col width="10" customWidth="1" min="4" max="4"/>
    <col width="9" customWidth="1" min="5" max="5"/>
    <col width="9" customWidth="1" min="6" max="6"/>
    <col width="10" customWidth="1" min="7" max="7"/>
    <col width="52" customWidth="1" min="8" max="8"/>
    <col width="14" customWidth="1" min="9" max="9"/>
  </cols>
  <sheetData>
    <row r="1" ht="30" customHeight="1">
      <c r="A1" s="3" t="inlineStr">
        <is>
          <t>ID</t>
        </is>
      </c>
      <c r="B1" s="3" t="inlineStr">
        <is>
          <t>Room</t>
        </is>
      </c>
      <c r="C1" s="3" t="inlineStr">
        <is>
          <t>Wall faces</t>
        </is>
      </c>
      <c r="D1" s="3" t="inlineStr">
        <is>
          <t>Width (ft)</t>
        </is>
      </c>
      <c r="E1" s="3" t="inlineStr">
        <is>
          <t>Sill (ft)</t>
        </is>
      </c>
      <c r="F1" s="3" t="inlineStr">
        <is>
          <t>Head (ft)</t>
        </is>
      </c>
      <c r="G1" s="3" t="inlineStr">
        <is>
          <t>Height (ft)</t>
        </is>
      </c>
      <c r="H1" s="3" t="inlineStr">
        <is>
          <t>Type</t>
        </is>
      </c>
      <c r="I1" s="3" t="inlineStr">
        <is>
          <t>Status</t>
        </is>
      </c>
    </row>
    <row r="2">
      <c r="A2" s="4" t="inlineStr">
        <is>
          <t>W01</t>
        </is>
      </c>
      <c r="B2" s="4" t="inlineStr">
        <is>
          <t>Master bedroom</t>
        </is>
      </c>
      <c r="C2" s="4" t="inlineStr">
        <is>
          <t>West</t>
        </is>
      </c>
      <c r="D2" s="9" t="n">
        <v>6</v>
      </c>
      <c r="E2" s="9" t="n">
        <v>3</v>
      </c>
      <c r="F2" s="9" t="n">
        <v>7</v>
      </c>
      <c r="G2" s="9">
        <f>F2-E2</f>
        <v/>
      </c>
      <c r="H2" s="4" t="inlineStr">
        <is>
          <t>Timber jali + glazed shutters (west, shaded by the creeper pergola)</t>
        </is>
      </c>
      <c r="I2" s="8" t="inlineStr"/>
    </row>
    <row r="3">
      <c r="A3" s="4" t="inlineStr">
        <is>
          <t>W02</t>
        </is>
      </c>
      <c r="B3" s="4" t="inlineStr">
        <is>
          <t>Master bath</t>
        </is>
      </c>
      <c r="C3" s="4" t="inlineStr">
        <is>
          <t>South</t>
        </is>
      </c>
      <c r="D3" s="9" t="n">
        <v>2</v>
      </c>
      <c r="E3" s="9" t="n">
        <v>5</v>
      </c>
      <c r="F3" s="9" t="n">
        <v>7</v>
      </c>
      <c r="G3" s="9">
        <f>F3-E3</f>
        <v/>
      </c>
      <c r="H3" s="4" t="inlineStr">
        <is>
          <t>Frosted casement, top-hung vent</t>
        </is>
      </c>
      <c r="I3" s="8" t="inlineStr"/>
    </row>
    <row r="4">
      <c r="A4" s="4" t="inlineStr">
        <is>
          <t>W03</t>
        </is>
      </c>
      <c r="B4" s="4" t="inlineStr">
        <is>
          <t>Common bath</t>
        </is>
      </c>
      <c r="C4" s="4" t="inlineStr">
        <is>
          <t>South</t>
        </is>
      </c>
      <c r="D4" s="9" t="n">
        <v>2</v>
      </c>
      <c r="E4" s="9" t="n">
        <v>5</v>
      </c>
      <c r="F4" s="9" t="n">
        <v>7</v>
      </c>
      <c r="G4" s="9">
        <f>F4-E4</f>
        <v/>
      </c>
      <c r="H4" s="4" t="inlineStr">
        <is>
          <t>Frosted casement, top-hung vent</t>
        </is>
      </c>
      <c r="I4" s="8" t="inlineStr"/>
    </row>
    <row r="5">
      <c r="A5" s="4" t="inlineStr">
        <is>
          <t>W04</t>
        </is>
      </c>
      <c r="B5" s="4" t="inlineStr">
        <is>
          <t>Small bedroom</t>
        </is>
      </c>
      <c r="C5" s="4" t="inlineStr">
        <is>
          <t>North</t>
        </is>
      </c>
      <c r="D5" s="9" t="n">
        <v>6</v>
      </c>
      <c r="E5" s="9" t="n">
        <v>3</v>
      </c>
      <c r="F5" s="9" t="n">
        <v>7</v>
      </c>
      <c r="G5" s="9">
        <f>F5-E5</f>
        <v/>
      </c>
      <c r="H5" s="4" t="inlineStr">
        <is>
          <t>Teak casement, glazed (6 ft)</t>
        </is>
      </c>
      <c r="I5" s="8" t="inlineStr"/>
    </row>
    <row r="6">
      <c r="A6" s="4" t="inlineStr">
        <is>
          <t>W13</t>
        </is>
      </c>
      <c r="B6" s="4" t="inlineStr">
        <is>
          <t>Small bedroom</t>
        </is>
      </c>
      <c r="C6" s="4" t="inlineStr">
        <is>
          <t>West</t>
        </is>
      </c>
      <c r="D6" s="9" t="n">
        <v>2</v>
      </c>
      <c r="E6" s="9" t="n">
        <v>5</v>
      </c>
      <c r="F6" s="9" t="n">
        <v>7</v>
      </c>
      <c r="G6" s="9">
        <f>F6-E6</f>
        <v/>
      </c>
      <c r="H6" s="4" t="inlineStr">
        <is>
          <t>High jali vent (west, cross-ventilation)</t>
        </is>
      </c>
      <c r="I6" s="8" t="inlineStr"/>
    </row>
    <row r="7">
      <c r="A7" s="4" t="inlineStr">
        <is>
          <t>W05</t>
        </is>
      </c>
      <c r="B7" s="4" t="inlineStr">
        <is>
          <t>Stair</t>
        </is>
      </c>
      <c r="C7" s="4" t="inlineStr">
        <is>
          <t>North</t>
        </is>
      </c>
      <c r="D7" s="9" t="n">
        <v>4</v>
      </c>
      <c r="E7" s="9" t="n">
        <v>6</v>
      </c>
      <c r="F7" s="9" t="n">
        <v>9.5</v>
      </c>
      <c r="G7" s="9">
        <f>F7-E7</f>
        <v/>
      </c>
      <c r="H7" s="4" t="inlineStr">
        <is>
          <t>Glazed casement at the half landing</t>
        </is>
      </c>
      <c r="I7" s="8" t="inlineStr"/>
    </row>
    <row r="8">
      <c r="A8" s="4" t="inlineStr">
        <is>
          <t>W10</t>
        </is>
      </c>
      <c r="B8" s="4" t="inlineStr">
        <is>
          <t>Stair</t>
        </is>
      </c>
      <c r="C8" s="4" t="inlineStr">
        <is>
          <t>Inside</t>
        </is>
      </c>
      <c r="D8" s="9" t="n">
        <v>3.4</v>
      </c>
      <c r="E8" s="9" t="n">
        <v>1</v>
      </c>
      <c r="F8" s="9" t="n">
        <v>7</v>
      </c>
      <c r="G8" s="9">
        <f>F8-E8</f>
        <v/>
      </c>
      <c r="H8" s="4" t="inlineStr">
        <is>
          <t>Timber jali screen between the stair foot and the living</t>
        </is>
      </c>
      <c r="I8" s="8" t="inlineStr"/>
    </row>
    <row r="9">
      <c r="A9" s="4" t="inlineStr">
        <is>
          <t>W11</t>
        </is>
      </c>
      <c r="B9" s="4" t="inlineStr">
        <is>
          <t>Store</t>
        </is>
      </c>
      <c r="C9" s="4" t="inlineStr">
        <is>
          <t>South</t>
        </is>
      </c>
      <c r="D9" s="9" t="n">
        <v>2</v>
      </c>
      <c r="E9" s="9" t="n">
        <v>5</v>
      </c>
      <c r="F9" s="9" t="n">
        <v>7</v>
      </c>
      <c r="G9" s="9">
        <f>F9-E9</f>
        <v/>
      </c>
      <c r="H9" s="4" t="inlineStr">
        <is>
          <t>High jali vent</t>
        </is>
      </c>
      <c r="I9" s="8" t="inlineStr"/>
    </row>
    <row r="10">
      <c r="A10" s="4" t="inlineStr">
        <is>
          <t>W12</t>
        </is>
      </c>
      <c r="B10" s="4" t="inlineStr">
        <is>
          <t>Wet area</t>
        </is>
      </c>
      <c r="C10" s="4" t="inlineStr">
        <is>
          <t>South</t>
        </is>
      </c>
      <c r="D10" s="9" t="n">
        <v>1.7</v>
      </c>
      <c r="E10" s="9" t="n">
        <v>4.5</v>
      </c>
      <c r="F10" s="9" t="n">
        <v>7</v>
      </c>
      <c r="G10" s="9">
        <f>F10-E10</f>
        <v/>
      </c>
      <c r="H10" s="4" t="inlineStr">
        <is>
          <t>Jali vent over the utility sink</t>
        </is>
      </c>
      <c r="I10" s="8" t="inlineStr"/>
    </row>
    <row r="11">
      <c r="A11" s="4" t="inlineStr">
        <is>
          <t>W07</t>
        </is>
      </c>
      <c r="B11" s="4" t="inlineStr">
        <is>
          <t>Kitchen</t>
        </is>
      </c>
      <c r="C11" s="4" t="inlineStr">
        <is>
          <t>South</t>
        </is>
      </c>
      <c r="D11" s="9" t="n">
        <v>6</v>
      </c>
      <c r="E11" s="9" t="n">
        <v>3.5</v>
      </c>
      <c r="F11" s="9" t="n">
        <v>7</v>
      </c>
      <c r="G11" s="9">
        <f>F11-E11</f>
        <v/>
      </c>
      <c r="H11" s="4" t="inlineStr">
        <is>
          <t>Timber jali + glazed shutters</t>
        </is>
      </c>
      <c r="I11" s="8" t="inlineStr"/>
    </row>
    <row r="12">
      <c r="A12" s="4" t="inlineStr">
        <is>
          <t>W08</t>
        </is>
      </c>
      <c r="B12" s="4" t="inlineStr">
        <is>
          <t>Kitchen</t>
        </is>
      </c>
      <c r="C12" s="4" t="inlineStr">
        <is>
          <t>East</t>
        </is>
      </c>
      <c r="D12" s="9" t="n">
        <v>3</v>
      </c>
      <c r="E12" s="9" t="n">
        <v>3.5</v>
      </c>
      <c r="F12" s="9" t="n">
        <v>7</v>
      </c>
      <c r="G12" s="9">
        <f>F12-E12</f>
        <v/>
      </c>
      <c r="H12" s="4" t="inlineStr">
        <is>
          <t>Timber jali + glazed shutters (3 ft, north end; hob wall kept solid)</t>
        </is>
      </c>
      <c r="I12" s="8" t="inlineStr"/>
    </row>
    <row r="13">
      <c r="A13" s="4" t="inlineStr">
        <is>
          <t>W09</t>
        </is>
      </c>
      <c r="B13" s="4" t="inlineStr">
        <is>
          <t>Living</t>
        </is>
      </c>
      <c r="C13" s="4" t="inlineStr">
        <is>
          <t>North</t>
        </is>
      </c>
      <c r="D13" s="9" t="n">
        <v>6</v>
      </c>
      <c r="E13" s="9" t="n">
        <v>3</v>
      </c>
      <c r="F13" s="9" t="n">
        <v>7</v>
      </c>
      <c r="G13" s="9">
        <f>F13-E13</f>
        <v/>
      </c>
      <c r="H13" s="4" t="inlineStr">
        <is>
          <t>Teak casement, glazed (6 ft)</t>
        </is>
      </c>
      <c r="I13" s="8" t="inlineStr"/>
    </row>
    <row r="14">
      <c r="A14" s="4" t="inlineStr">
        <is>
          <t>W17</t>
        </is>
      </c>
      <c r="B14" s="4" t="inlineStr">
        <is>
          <t>Pooja</t>
        </is>
      </c>
      <c r="C14" s="4" t="inlineStr">
        <is>
          <t>East</t>
        </is>
      </c>
      <c r="D14" s="9" t="n">
        <v>2.8</v>
      </c>
      <c r="E14" s="9" t="n">
        <v>5.5</v>
      </c>
      <c r="F14" s="9" t="n">
        <v>7</v>
      </c>
      <c r="G14" s="9">
        <f>F14-E14</f>
        <v/>
      </c>
      <c r="H14" s="4" t="inlineStr">
        <is>
          <t>High vent to the poomukham, jali + mesh (lamp smoke out)</t>
        </is>
      </c>
      <c r="I14" s="8" t="inlineStr"/>
    </row>
    <row r="15">
      <c r="A15" s="4" t="inlineStr">
        <is>
          <t>W31</t>
        </is>
      </c>
      <c r="B15" s="4" t="inlineStr">
        <is>
          <t>Upper master bedroom (1st floor)</t>
        </is>
      </c>
      <c r="C15" s="4" t="inlineStr">
        <is>
          <t>South</t>
        </is>
      </c>
      <c r="D15" s="9" t="n">
        <v>6</v>
      </c>
      <c r="E15" s="9" t="n">
        <v>3</v>
      </c>
      <c r="F15" s="9" t="n">
        <v>7</v>
      </c>
      <c r="G15" s="9">
        <f>F15-E15</f>
        <v/>
      </c>
      <c r="H15" s="4" t="inlineStr">
        <is>
          <t>Timber jali + glazed shutters</t>
        </is>
      </c>
      <c r="I15" s="8" t="inlineStr"/>
    </row>
    <row r="16">
      <c r="A16" s="4" t="inlineStr">
        <is>
          <t>W32</t>
        </is>
      </c>
      <c r="B16" s="4" t="inlineStr">
        <is>
          <t>Dressing (1st floor)</t>
        </is>
      </c>
      <c r="C16" s="4" t="inlineStr">
        <is>
          <t>South</t>
        </is>
      </c>
      <c r="D16" s="9" t="n">
        <v>2</v>
      </c>
      <c r="E16" s="9" t="n">
        <v>5</v>
      </c>
      <c r="F16" s="9" t="n">
        <v>7</v>
      </c>
      <c r="G16" s="9">
        <f>F16-E16</f>
        <v/>
      </c>
      <c r="H16" s="4" t="inlineStr">
        <is>
          <t>Frosted casement</t>
        </is>
      </c>
      <c r="I16" s="8" t="inlineStr"/>
    </row>
    <row r="17">
      <c r="A17" s="4" t="inlineStr">
        <is>
          <t>W33</t>
        </is>
      </c>
      <c r="B17" s="4" t="inlineStr">
        <is>
          <t>Upper master bath (1st floor)</t>
        </is>
      </c>
      <c r="C17" s="4" t="inlineStr">
        <is>
          <t>South</t>
        </is>
      </c>
      <c r="D17" s="9" t="n">
        <v>2</v>
      </c>
      <c r="E17" s="9" t="n">
        <v>5</v>
      </c>
      <c r="F17" s="9" t="n">
        <v>7</v>
      </c>
      <c r="G17" s="9">
        <f>F17-E17</f>
        <v/>
      </c>
      <c r="H17" s="4" t="inlineStr">
        <is>
          <t>Frosted casement, top-hung vent</t>
        </is>
      </c>
      <c r="I17" s="8" t="inlineStr"/>
    </row>
    <row r="18">
      <c r="A18" s="4" t="inlineStr">
        <is>
          <t>W34</t>
        </is>
      </c>
      <c r="B18" s="4" t="inlineStr">
        <is>
          <t>Upper master bedroom (1st floor)</t>
        </is>
      </c>
      <c r="C18" s="4" t="inlineStr">
        <is>
          <t>Inside</t>
        </is>
      </c>
      <c r="D18" s="9" t="n">
        <v>4</v>
      </c>
      <c r="E18" s="9" t="n">
        <v>3</v>
      </c>
      <c r="F18" s="9" t="n">
        <v>7</v>
      </c>
      <c r="G18" s="9">
        <f>F18-E18</f>
        <v/>
      </c>
      <c r="H18" s="4" t="inlineStr">
        <is>
          <t>Teak casement, glazed (opens onto the lounge)</t>
        </is>
      </c>
      <c r="I18" s="8" t="inlineStr"/>
    </row>
    <row r="19">
      <c r="A19" s="4" t="inlineStr">
        <is>
          <t>W40</t>
        </is>
      </c>
      <c r="B19" s="4" t="inlineStr">
        <is>
          <t>Stair (1st floor)</t>
        </is>
      </c>
      <c r="C19" s="4" t="inlineStr">
        <is>
          <t>Inside</t>
        </is>
      </c>
      <c r="D19" s="9" t="n">
        <v>9.5</v>
      </c>
      <c r="E19" s="9" t="n">
        <v>1</v>
      </c>
      <c r="F19" s="9" t="n">
        <v>8</v>
      </c>
      <c r="G19" s="9">
        <f>F19-E19</f>
        <v/>
      </c>
      <c r="H19" s="4" t="inlineStr">
        <is>
          <t>Timber jali screen between the stair well and the covered terrace (light and air for the stair)</t>
        </is>
      </c>
      <c r="I19" s="8" t="inlineStr"/>
    </row>
    <row r="20">
      <c r="A20" s="4" t="inlineStr">
        <is>
          <t>SK1</t>
        </is>
      </c>
      <c r="B20" s="4" t="inlineStr">
        <is>
          <t>Roof</t>
        </is>
      </c>
      <c r="C20" s="4" t="inlineStr">
        <is>
          <t>Up</t>
        </is>
      </c>
      <c r="D20" s="9" t="inlineStr"/>
      <c r="E20" s="9" t="inlineStr"/>
      <c r="F20" s="9" t="inlineStr"/>
      <c r="G20" s="9" t="inlineStr"/>
      <c r="H20" s="4" t="inlineStr">
        <is>
          <t>Ventilator on the main ridge over the covered terrace, 4'-6" square, no glass: hipped tiled cap at 30 deg with 1'-6" overhang; 2 ft band of 45 deg louvres on all four sides; SS bird mesh behind; 9 in upstand (see A-503). Lets the hot air under the tiles out</t>
        </is>
      </c>
      <c r="I20" s="8" t="inlineStr"/>
    </row>
    <row r="21">
      <c r="A21" s="4" t="inlineStr">
        <is>
          <t>GV1-3</t>
        </is>
      </c>
      <c r="B21" s="4" t="inlineStr">
        <is>
          <t>Roof</t>
        </is>
      </c>
      <c r="C21" s="4" t="inlineStr">
        <is>
          <t>Up</t>
        </is>
      </c>
      <c r="D21" s="9" t="inlineStr"/>
      <c r="E21" s="9" t="inlineStr"/>
      <c r="F21" s="9" t="inlineStr"/>
      <c r="G21" s="9" t="inlineStr"/>
      <c r="H21" s="4" t="inlineStr">
        <is>
          <t>Three jali vents in the front gable (mukhappu): air for the roof space over the verandah and the kitchen front</t>
        </is>
      </c>
      <c r="I21" s="8" t="inlineStr"/>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57"/>
  <sheetViews>
    <sheetView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18" customWidth="1" min="4" max="4"/>
    <col width="9" customWidth="1" min="5" max="5"/>
    <col width="9" customWidth="1" min="6" max="6"/>
    <col width="6" customWidth="1" min="7" max="7"/>
    <col width="34" customWidth="1" min="8" max="8"/>
    <col width="14" customWidth="1" min="9" max="9"/>
    <col width="14" customWidth="1" min="10" max="10"/>
    <col width="26" customWidth="1" min="11" max="11"/>
    <col width="12" customWidth="1" min="12" max="12"/>
  </cols>
  <sheetData>
    <row r="1" ht="30" customHeight="1">
      <c r="A1" s="3" t="inlineStr">
        <is>
          <t>ID</t>
        </is>
      </c>
      <c r="B1" s="3" t="inlineStr">
        <is>
          <t>Room</t>
        </is>
      </c>
      <c r="C1" s="3" t="inlineStr">
        <is>
          <t>Item</t>
        </is>
      </c>
      <c r="D1" s="3" t="inlineStr">
        <is>
          <t>Category</t>
        </is>
      </c>
      <c r="E1" s="3" t="inlineStr">
        <is>
          <t>E-W (ft)</t>
        </is>
      </c>
      <c r="F1" s="3" t="inlineStr">
        <is>
          <t>N-S (ft)</t>
        </is>
      </c>
      <c r="G1" s="3" t="inlineStr">
        <is>
          <t>Qty</t>
        </is>
      </c>
      <c r="H1" s="3" t="inlineStr">
        <is>
          <t>Material / spec</t>
        </is>
      </c>
      <c r="I1" s="3" t="inlineStr">
        <is>
          <t>Est. unit cost (Rs)</t>
        </is>
      </c>
      <c r="J1" s="3" t="inlineStr">
        <is>
          <t>Line total (Rs)</t>
        </is>
      </c>
      <c r="K1" s="3" t="inlineStr">
        <is>
          <t>Chosen product / vendor</t>
        </is>
      </c>
      <c r="L1" s="3" t="inlineStr">
        <is>
          <t>Status</t>
        </is>
      </c>
    </row>
    <row r="2">
      <c r="A2" s="4" t="inlineStr">
        <is>
          <t>F10</t>
        </is>
      </c>
      <c r="B2" s="4" t="inlineStr">
        <is>
          <t>Master bedroom</t>
        </is>
      </c>
      <c r="C2" s="4" t="inlineStr">
        <is>
          <t>Queen bed 5' x 6'6" + headboard, head to the south wall</t>
        </is>
      </c>
      <c r="D2" s="4" t="inlineStr">
        <is>
          <t>Loose furniture</t>
        </is>
      </c>
      <c r="E2" s="4" t="n">
        <v>5</v>
      </c>
      <c r="F2" s="4" t="n">
        <v>6.6</v>
      </c>
      <c r="G2" s="4" t="n">
        <v>1</v>
      </c>
      <c r="H2" s="4" t="inlineStr">
        <is>
          <t>Teak, head to south</t>
        </is>
      </c>
      <c r="I2" s="10" t="n"/>
      <c r="J2" s="11">
        <f>G2*I2</f>
        <v/>
      </c>
      <c r="K2" s="8" t="inlineStr"/>
      <c r="L2" s="8" t="inlineStr"/>
    </row>
    <row r="3">
      <c r="A3" s="4" t="inlineStr">
        <is>
          <t>F11</t>
        </is>
      </c>
      <c r="B3" s="4" t="inlineStr">
        <is>
          <t>Master bedroom</t>
        </is>
      </c>
      <c r="C3" s="4" t="inlineStr">
        <is>
          <t>Floating bedside shelf with a drawer, reading light and charging point above</t>
        </is>
      </c>
      <c r="D3" s="4" t="inlineStr">
        <is>
          <t>Loose furniture</t>
        </is>
      </c>
      <c r="E3" s="4" t="n">
        <v>1</v>
      </c>
      <c r="F3" s="4" t="n">
        <v>1</v>
      </c>
      <c r="G3" s="4" t="n">
        <v>2</v>
      </c>
      <c r="H3" s="4" t="inlineStr">
        <is>
          <t>Teak, wall-hung</t>
        </is>
      </c>
      <c r="I3" s="10" t="n"/>
      <c r="J3" s="11">
        <f>G3*I3</f>
        <v/>
      </c>
      <c r="K3" s="8" t="inlineStr"/>
      <c r="L3" s="8" t="inlineStr"/>
    </row>
    <row r="4">
      <c r="A4" s="4" t="inlineStr">
        <is>
          <t>F04</t>
        </is>
      </c>
      <c r="B4" s="4" t="inlineStr">
        <is>
          <t>Master bedroom</t>
        </is>
      </c>
      <c r="C4" s="4" t="inlineStr">
        <is>
          <t>Built-in wardrobe 6', north wall, sliding doors, lofts above</t>
        </is>
      </c>
      <c r="D4" s="4" t="inlineStr">
        <is>
          <t>Built-in joinery</t>
        </is>
      </c>
      <c r="E4" s="4" t="n">
        <v>6</v>
      </c>
      <c r="F4" s="4" t="n">
        <v>2</v>
      </c>
      <c r="G4" s="4" t="n">
        <v>1</v>
      </c>
      <c r="H4" s="4" t="inlineStr">
        <is>
          <t>Ply + laminate, 2 ft deep</t>
        </is>
      </c>
      <c r="I4" s="10" t="n"/>
      <c r="J4" s="11">
        <f>G4*I4</f>
        <v/>
      </c>
      <c r="K4" s="8" t="inlineStr"/>
      <c r="L4" s="8" t="inlineStr"/>
    </row>
    <row r="5">
      <c r="A5" s="4" t="inlineStr">
        <is>
          <t>F06</t>
        </is>
      </c>
      <c r="B5" s="4" t="inlineStr">
        <is>
          <t>Master bedroom</t>
        </is>
      </c>
      <c r="C5" s="4" t="inlineStr">
        <is>
          <t>Dresser with mirror (north wall)</t>
        </is>
      </c>
      <c r="D5" s="4" t="inlineStr">
        <is>
          <t>Loose furniture</t>
        </is>
      </c>
      <c r="E5" s="4" t="n">
        <v>3</v>
      </c>
      <c r="F5" s="4" t="n">
        <v>0.7</v>
      </c>
      <c r="G5" s="4" t="n">
        <v>1</v>
      </c>
      <c r="H5" s="4" t="inlineStr">
        <is>
          <t>Teak</t>
        </is>
      </c>
      <c r="I5" s="10" t="n"/>
      <c r="J5" s="11">
        <f>G5*I5</f>
        <v/>
      </c>
      <c r="K5" s="8" t="inlineStr"/>
      <c r="L5" s="8" t="inlineStr"/>
    </row>
    <row r="6">
      <c r="A6" s="4" t="inlineStr">
        <is>
          <t>F07</t>
        </is>
      </c>
      <c r="B6" s="4" t="inlineStr">
        <is>
          <t>Master bath</t>
        </is>
      </c>
      <c r="C6" s="4" t="inlineStr">
        <is>
          <t>Vanity basin counter 2' with a mirror cabinet above (north wall)</t>
        </is>
      </c>
      <c r="D6" s="4" t="inlineStr">
        <is>
          <t>Sanitary / plumbing</t>
        </is>
      </c>
      <c r="E6" s="4" t="n">
        <v>2</v>
      </c>
      <c r="F6" s="4" t="n">
        <v>1.3</v>
      </c>
      <c r="G6" s="4" t="n">
        <v>1</v>
      </c>
      <c r="H6" s="4" t="inlineStr">
        <is>
          <t>Granite top, wall-hung</t>
        </is>
      </c>
      <c r="I6" s="10" t="n"/>
      <c r="J6" s="11">
        <f>G6*I6</f>
        <v/>
      </c>
      <c r="K6" s="8" t="inlineStr"/>
      <c r="L6" s="8" t="inlineStr"/>
    </row>
    <row r="7">
      <c r="A7" s="4" t="inlineStr">
        <is>
          <t>F08</t>
        </is>
      </c>
      <c r="B7" s="4" t="inlineStr">
        <is>
          <t>Master bath</t>
        </is>
      </c>
      <c r="C7" s="4" t="inlineStr">
        <is>
          <t>WC (EWC) on the wet wall shared with the common bath</t>
        </is>
      </c>
      <c r="D7" s="4" t="inlineStr">
        <is>
          <t>Sanitary / plumbing</t>
        </is>
      </c>
      <c r="E7" s="4" t="n">
        <v>1.6</v>
      </c>
      <c r="F7" s="4" t="n">
        <v>1.2</v>
      </c>
      <c r="G7" s="4" t="n">
        <v>1</v>
      </c>
      <c r="H7" s="4" t="inlineStr">
        <is>
          <t>Wall-hung, concealed cistern</t>
        </is>
      </c>
      <c r="I7" s="10" t="n"/>
      <c r="J7" s="11">
        <f>G7*I7</f>
        <v/>
      </c>
      <c r="K7" s="8" t="inlineStr"/>
      <c r="L7" s="8" t="inlineStr"/>
    </row>
    <row r="8">
      <c r="A8" s="4" t="inlineStr">
        <is>
          <t>F09</t>
        </is>
      </c>
      <c r="B8" s="4" t="inlineStr">
        <is>
          <t>Master bath</t>
        </is>
      </c>
      <c r="C8" s="4" t="inlineStr">
        <is>
          <t>Shower glass partition (shower in the south-west corner)</t>
        </is>
      </c>
      <c r="D8" s="4" t="inlineStr">
        <is>
          <t>Sanitary / plumbing</t>
        </is>
      </c>
      <c r="E8" s="4" t="n">
        <v>2.1</v>
      </c>
      <c r="F8" s="4" t="n">
        <v>0.15</v>
      </c>
      <c r="G8" s="4" t="n">
        <v>1</v>
      </c>
      <c r="H8" s="4" t="inlineStr">
        <is>
          <t>8 mm toughened glass</t>
        </is>
      </c>
      <c r="I8" s="10" t="n"/>
      <c r="J8" s="11">
        <f>G8*I8</f>
        <v/>
      </c>
      <c r="K8" s="8" t="inlineStr"/>
      <c r="L8" s="8" t="inlineStr"/>
    </row>
    <row r="9">
      <c r="A9" s="4" t="inlineStr">
        <is>
          <t>F63</t>
        </is>
      </c>
      <c r="B9" s="4" t="inlineStr">
        <is>
          <t>Master bath</t>
        </is>
      </c>
      <c r="C9" s="4" t="inlineStr">
        <is>
          <t>Recessed shower niche 1' x 1'-7" x 3 in deep, tiled, sloped sill</t>
        </is>
      </c>
      <c r="D9" s="4" t="inlineStr">
        <is>
          <t>Sanitary / plumbing</t>
        </is>
      </c>
      <c r="E9" s="4" t="n">
        <v>0.25</v>
      </c>
      <c r="F9" s="4" t="n">
        <v>1</v>
      </c>
      <c r="G9" s="4" t="n">
        <v>1</v>
      </c>
      <c r="H9" s="4" t="inlineStr">
        <is>
          <t>Tile lined, waterproofed</t>
        </is>
      </c>
      <c r="I9" s="10" t="n"/>
      <c r="J9" s="11">
        <f>G9*I9</f>
        <v/>
      </c>
      <c r="K9" s="8" t="inlineStr"/>
      <c r="L9" s="8" t="inlineStr"/>
    </row>
    <row r="10">
      <c r="A10" s="4" t="inlineStr">
        <is>
          <t>F16</t>
        </is>
      </c>
      <c r="B10" s="4" t="inlineStr">
        <is>
          <t>Common bath</t>
        </is>
      </c>
      <c r="C10" s="4" t="inlineStr">
        <is>
          <t>WC (EWC), back to back with the master WC</t>
        </is>
      </c>
      <c r="D10" s="4" t="inlineStr">
        <is>
          <t>Sanitary / plumbing</t>
        </is>
      </c>
      <c r="E10" s="4" t="n">
        <v>1.6</v>
      </c>
      <c r="F10" s="4" t="n">
        <v>1.2</v>
      </c>
      <c r="G10" s="4" t="n">
        <v>1</v>
      </c>
      <c r="H10" s="4" t="inlineStr">
        <is>
          <t>Wall-hung on the wet wall, concealed cistern</t>
        </is>
      </c>
      <c r="I10" s="10" t="n"/>
      <c r="J10" s="11">
        <f>G10*I10</f>
        <v/>
      </c>
      <c r="K10" s="8" t="inlineStr"/>
      <c r="L10" s="8" t="inlineStr"/>
    </row>
    <row r="11">
      <c r="A11" s="4" t="inlineStr">
        <is>
          <t>F17</t>
        </is>
      </c>
      <c r="B11" s="4" t="inlineStr">
        <is>
          <t>Common bath</t>
        </is>
      </c>
      <c r="C11" s="4" t="inlineStr">
        <is>
          <t>Wash basin with a mirror cabinet above</t>
        </is>
      </c>
      <c r="D11" s="4" t="inlineStr">
        <is>
          <t>Sanitary / plumbing</t>
        </is>
      </c>
      <c r="E11" s="4" t="n">
        <v>0.7</v>
      </c>
      <c r="F11" s="4" t="n">
        <v>1.2</v>
      </c>
      <c r="G11" s="4" t="n">
        <v>1</v>
      </c>
      <c r="H11" s="4" t="inlineStr">
        <is>
          <t>Wall-hung</t>
        </is>
      </c>
      <c r="I11" s="10" t="n"/>
      <c r="J11" s="11">
        <f>G11*I11</f>
        <v/>
      </c>
      <c r="K11" s="8" t="inlineStr"/>
      <c r="L11" s="8" t="inlineStr"/>
    </row>
    <row r="12">
      <c r="A12" s="4" t="inlineStr">
        <is>
          <t>F18</t>
        </is>
      </c>
      <c r="B12" s="4" t="inlineStr">
        <is>
          <t>Common bath</t>
        </is>
      </c>
      <c r="C12" s="4" t="inlineStr">
        <is>
          <t>Shower glass partition (shower across the south end)</t>
        </is>
      </c>
      <c r="D12" s="4" t="inlineStr">
        <is>
          <t>Sanitary / plumbing</t>
        </is>
      </c>
      <c r="E12" s="4" t="n">
        <v>2</v>
      </c>
      <c r="F12" s="4" t="n">
        <v>0.15</v>
      </c>
      <c r="G12" s="4" t="n">
        <v>1</v>
      </c>
      <c r="H12" s="4" t="inlineStr">
        <is>
          <t>8 mm toughened glass</t>
        </is>
      </c>
      <c r="I12" s="10" t="n"/>
      <c r="J12" s="11">
        <f>G12*I12</f>
        <v/>
      </c>
      <c r="K12" s="8" t="inlineStr"/>
      <c r="L12" s="8" t="inlineStr"/>
    </row>
    <row r="13">
      <c r="A13" s="4" t="inlineStr">
        <is>
          <t>F64</t>
        </is>
      </c>
      <c r="B13" s="4" t="inlineStr">
        <is>
          <t>Common bath</t>
        </is>
      </c>
      <c r="C13" s="4" t="inlineStr">
        <is>
          <t>Recessed shower niche 1' x 1'-7" x 3 in deep, tiled, sloped sill (south wall below the window)</t>
        </is>
      </c>
      <c r="D13" s="4" t="inlineStr">
        <is>
          <t>Sanitary / plumbing</t>
        </is>
      </c>
      <c r="E13" s="4" t="n">
        <v>1</v>
      </c>
      <c r="F13" s="4" t="n">
        <v>0.22</v>
      </c>
      <c r="G13" s="4" t="n">
        <v>1</v>
      </c>
      <c r="H13" s="4" t="inlineStr">
        <is>
          <t>Tile lined, waterproofed</t>
        </is>
      </c>
      <c r="I13" s="10" t="n"/>
      <c r="J13" s="11">
        <f>G13*I13</f>
        <v/>
      </c>
      <c r="K13" s="8" t="inlineStr"/>
      <c r="L13" s="8" t="inlineStr"/>
    </row>
    <row r="14">
      <c r="A14" s="4" t="inlineStr">
        <is>
          <t>F20</t>
        </is>
      </c>
      <c r="B14" s="4" t="inlineStr">
        <is>
          <t>Small bedroom</t>
        </is>
      </c>
      <c r="C14" s="4" t="inlineStr">
        <is>
          <t>Double bed 4' x 6'-3" + headboard, head to the east wall</t>
        </is>
      </c>
      <c r="D14" s="4" t="inlineStr">
        <is>
          <t>Loose furniture</t>
        </is>
      </c>
      <c r="E14" s="4" t="n">
        <v>6.3</v>
      </c>
      <c r="F14" s="4" t="n">
        <v>4</v>
      </c>
      <c r="G14" s="4" t="n">
        <v>1</v>
      </c>
      <c r="H14" s="4" t="inlineStr">
        <is>
          <t>Teak</t>
        </is>
      </c>
      <c r="I14" s="10" t="n"/>
      <c r="J14" s="11">
        <f>G14*I14</f>
        <v/>
      </c>
      <c r="K14" s="8" t="inlineStr"/>
      <c r="L14" s="8" t="inlineStr"/>
    </row>
    <row r="15">
      <c r="A15" s="4" t="inlineStr">
        <is>
          <t>F51</t>
        </is>
      </c>
      <c r="B15" s="4" t="inlineStr">
        <is>
          <t>Small bedroom</t>
        </is>
      </c>
      <c r="C15" s="4" t="inlineStr">
        <is>
          <t>Floating bedside shelf with a drawer, reading light and charging point above</t>
        </is>
      </c>
      <c r="D15" s="4" t="inlineStr">
        <is>
          <t>Loose furniture</t>
        </is>
      </c>
      <c r="E15" s="4" t="n">
        <v>1</v>
      </c>
      <c r="F15" s="4" t="n">
        <v>1</v>
      </c>
      <c r="G15" s="4" t="n">
        <v>1</v>
      </c>
      <c r="H15" s="4" t="inlineStr">
        <is>
          <t>Teak, wall-hung</t>
        </is>
      </c>
      <c r="I15" s="10" t="n"/>
      <c r="J15" s="11">
        <f>G15*I15</f>
        <v/>
      </c>
      <c r="K15" s="8" t="inlineStr"/>
      <c r="L15" s="8" t="inlineStr"/>
    </row>
    <row r="16">
      <c r="A16" s="4" t="inlineStr">
        <is>
          <t>F23</t>
        </is>
      </c>
      <c r="B16" s="4" t="inlineStr">
        <is>
          <t>Small bedroom</t>
        </is>
      </c>
      <c r="C16" s="4" t="inlineStr">
        <is>
          <t>Built-in wardrobe 5' with a mirror door (west wall)</t>
        </is>
      </c>
      <c r="D16" s="4" t="inlineStr">
        <is>
          <t>Built-in joinery</t>
        </is>
      </c>
      <c r="E16" s="4" t="n">
        <v>2</v>
      </c>
      <c r="F16" s="4" t="n">
        <v>5</v>
      </c>
      <c r="G16" s="4" t="n">
        <v>1</v>
      </c>
      <c r="H16" s="4" t="inlineStr">
        <is>
          <t>Ply + laminate</t>
        </is>
      </c>
      <c r="I16" s="10" t="n"/>
      <c r="J16" s="11">
        <f>G16*I16</f>
        <v/>
      </c>
      <c r="K16" s="8" t="inlineStr"/>
      <c r="L16" s="8" t="inlineStr"/>
    </row>
    <row r="17">
      <c r="A17" s="4" t="inlineStr">
        <is>
          <t>F22</t>
        </is>
      </c>
      <c r="B17" s="4" t="inlineStr">
        <is>
          <t>Small bedroom</t>
        </is>
      </c>
      <c r="C17" s="4" t="inlineStr">
        <is>
          <t>Study table 4' x 2' (south wall)</t>
        </is>
      </c>
      <c r="D17" s="4" t="inlineStr">
        <is>
          <t>Loose furniture</t>
        </is>
      </c>
      <c r="E17" s="4" t="n">
        <v>4</v>
      </c>
      <c r="F17" s="4" t="n">
        <v>2</v>
      </c>
      <c r="G17" s="4" t="n">
        <v>1</v>
      </c>
      <c r="H17" s="4" t="inlineStr">
        <is>
          <t>Teak / ply, cable tray</t>
        </is>
      </c>
      <c r="I17" s="10" t="n"/>
      <c r="J17" s="11">
        <f>G17*I17</f>
        <v/>
      </c>
      <c r="K17" s="8" t="inlineStr"/>
      <c r="L17" s="8" t="inlineStr"/>
    </row>
    <row r="18">
      <c r="A18" s="4" t="inlineStr">
        <is>
          <t>F57</t>
        </is>
      </c>
      <c r="B18" s="4" t="inlineStr">
        <is>
          <t>Stair and passage</t>
        </is>
      </c>
      <c r="C18" s="4" t="inlineStr">
        <is>
          <t>Under-stair cupboard (DB, inverter, brooms), opens to the lobby</t>
        </is>
      </c>
      <c r="D18" s="4" t="inlineStr">
        <is>
          <t>Built-in joinery</t>
        </is>
      </c>
      <c r="E18" s="4" t="n">
        <v>3.4</v>
      </c>
      <c r="F18" s="4" t="n">
        <v>1.4</v>
      </c>
      <c r="G18" s="4" t="n">
        <v>1</v>
      </c>
      <c r="H18" s="4" t="inlineStr">
        <is>
          <t>Ply + laminate, ventilated</t>
        </is>
      </c>
      <c r="I18" s="10" t="n"/>
      <c r="J18" s="11">
        <f>G18*I18</f>
        <v/>
      </c>
      <c r="K18" s="8" t="inlineStr"/>
      <c r="L18" s="8" t="inlineStr"/>
    </row>
    <row r="19">
      <c r="A19" s="4" t="inlineStr">
        <is>
          <t>F56</t>
        </is>
      </c>
      <c r="B19" s="4" t="inlineStr">
        <is>
          <t>Stair and passage</t>
        </is>
      </c>
      <c r="C19" s="4" t="inlineStr">
        <is>
          <t>Linen cupboard at the end of the passage, loft above</t>
        </is>
      </c>
      <c r="D19" s="4" t="inlineStr">
        <is>
          <t>Built-in joinery</t>
        </is>
      </c>
      <c r="E19" s="4" t="n">
        <v>2</v>
      </c>
      <c r="F19" s="4" t="n">
        <v>2</v>
      </c>
      <c r="G19" s="4" t="n">
        <v>1</v>
      </c>
      <c r="H19" s="4" t="inlineStr">
        <is>
          <t>Ply + laminate, full height</t>
        </is>
      </c>
      <c r="I19" s="10" t="n"/>
      <c r="J19" s="11">
        <f>G19*I19</f>
        <v/>
      </c>
      <c r="K19" s="8" t="inlineStr"/>
      <c r="L19" s="8" t="inlineStr"/>
    </row>
    <row r="20">
      <c r="A20" s="4" t="inlineStr">
        <is>
          <t>F44</t>
        </is>
      </c>
      <c r="B20" s="4" t="inlineStr">
        <is>
          <t>Store</t>
        </is>
      </c>
      <c r="C20" s="4" t="inlineStr">
        <is>
          <t>Racks, full height (provisions, vessels, festival items)</t>
        </is>
      </c>
      <c r="D20" s="4" t="inlineStr">
        <is>
          <t>Loose furniture</t>
        </is>
      </c>
      <c r="E20" s="4" t="n">
        <v>3.4</v>
      </c>
      <c r="F20" s="4" t="n">
        <v>1.3</v>
      </c>
      <c r="G20" s="4" t="n">
        <v>1</v>
      </c>
      <c r="H20" s="4" t="inlineStr">
        <is>
          <t>Steel / ply racks</t>
        </is>
      </c>
      <c r="I20" s="10" t="n"/>
      <c r="J20" s="11">
        <f>G20*I20</f>
        <v/>
      </c>
      <c r="K20" s="8" t="inlineStr"/>
      <c r="L20" s="8" t="inlineStr"/>
    </row>
    <row r="21">
      <c r="A21" s="4" t="inlineStr">
        <is>
          <t>F29</t>
        </is>
      </c>
      <c r="B21" s="4" t="inlineStr">
        <is>
          <t>Wet area</t>
        </is>
      </c>
      <c r="C21" s="4" t="inlineStr">
        <is>
          <t>Utility sink counter on the south wall, where vessels are washed</t>
        </is>
      </c>
      <c r="D21" s="4" t="inlineStr">
        <is>
          <t>Sanitary / plumbing</t>
        </is>
      </c>
      <c r="E21" s="4" t="n">
        <v>1.9</v>
      </c>
      <c r="F21" s="4" t="n">
        <v>1.9</v>
      </c>
      <c r="G21" s="4" t="n">
        <v>1</v>
      </c>
      <c r="H21" s="4" t="inlineStr">
        <is>
          <t>Kadappa / granite, SS sink</t>
        </is>
      </c>
      <c r="I21" s="10" t="n"/>
      <c r="J21" s="11">
        <f>G21*I21</f>
        <v/>
      </c>
      <c r="K21" s="8" t="inlineStr"/>
      <c r="L21" s="8" t="inlineStr"/>
    </row>
    <row r="22">
      <c r="A22" s="4" t="inlineStr">
        <is>
          <t>F62</t>
        </is>
      </c>
      <c r="B22" s="4" t="inlineStr">
        <is>
          <t>Wet area</t>
        </is>
      </c>
      <c r="C22" s="4" t="inlineStr">
        <is>
          <t>Dish-drying rack over the utility sink: steel rods, drip tray draining into the sink</t>
        </is>
      </c>
      <c r="D22" s="4" t="inlineStr">
        <is>
          <t>Sanitary / plumbing</t>
        </is>
      </c>
      <c r="E22" s="4" t="n">
        <v>1.7</v>
      </c>
      <c r="F22" s="4" t="n">
        <v>0.75</v>
      </c>
      <c r="G22" s="4" t="n">
        <v>1</v>
      </c>
      <c r="H22" s="4" t="inlineStr">
        <is>
          <t>SS 304</t>
        </is>
      </c>
      <c r="I22" s="10" t="n"/>
      <c r="J22" s="11">
        <f>G22*I22</f>
        <v/>
      </c>
      <c r="K22" s="8" t="inlineStr"/>
      <c r="L22" s="8" t="inlineStr"/>
    </row>
    <row r="23">
      <c r="A23" s="4" t="inlineStr">
        <is>
          <t>F30</t>
        </is>
      </c>
      <c r="B23" s="4" t="inlineStr">
        <is>
          <t>Wet area</t>
        </is>
      </c>
      <c r="C23" s="4" t="inlineStr">
        <is>
          <t>Washing machine bay 2' x 2' (on the store wall)</t>
        </is>
      </c>
      <c r="D23" s="4" t="inlineStr">
        <is>
          <t>Appliance / joinery</t>
        </is>
      </c>
      <c r="E23" s="4" t="n">
        <v>1.9</v>
      </c>
      <c r="F23" s="4" t="n">
        <v>1.7</v>
      </c>
      <c r="G23" s="4" t="n">
        <v>1</v>
      </c>
      <c r="H23" s="4" t="inlineStr">
        <is>
          <t>Splash-proof socket, floor drain</t>
        </is>
      </c>
      <c r="I23" s="10" t="n"/>
      <c r="J23" s="11">
        <f>G23*I23</f>
        <v/>
      </c>
      <c r="K23" s="8" t="inlineStr"/>
      <c r="L23" s="8" t="inlineStr"/>
    </row>
    <row r="24">
      <c r="A24" s="4" t="inlineStr">
        <is>
          <t>F61</t>
        </is>
      </c>
      <c r="B24" s="4" t="inlineStr">
        <is>
          <t>Wet area</t>
        </is>
      </c>
      <c r="C24" s="4" t="inlineStr">
        <is>
          <t>Ceiling clothes airer on pulleys (lower to load, raise to dry)</t>
        </is>
      </c>
      <c r="D24" s="4" t="inlineStr">
        <is>
          <t>Built-in joinery</t>
        </is>
      </c>
      <c r="E24" s="4" t="n">
        <v>4.8</v>
      </c>
      <c r="F24" s="4" t="n">
        <v>1.3</v>
      </c>
      <c r="G24" s="4" t="n">
        <v>1</v>
      </c>
      <c r="H24" s="4" t="inlineStr">
        <is>
          <t>Aluminium rails, nylon rope, cleat on the wall</t>
        </is>
      </c>
      <c r="I24" s="10" t="n"/>
      <c r="J24" s="11">
        <f>G24*I24</f>
        <v/>
      </c>
      <c r="K24" s="8" t="inlineStr"/>
      <c r="L24" s="8" t="inlineStr"/>
    </row>
    <row r="25">
      <c r="A25" s="4" t="inlineStr">
        <is>
          <t>F31</t>
        </is>
      </c>
      <c r="B25" s="4" t="inlineStr">
        <is>
          <t>Wet area</t>
        </is>
      </c>
      <c r="C25" s="4" t="inlineStr">
        <is>
          <t>Fold-away clothesline in the south walkway behind the master</t>
        </is>
      </c>
      <c r="D25" s="4" t="inlineStr">
        <is>
          <t>Loose furniture</t>
        </is>
      </c>
      <c r="E25" s="4" t="n">
        <v>8</v>
      </c>
      <c r="F25" s="4" t="n">
        <v>1.8</v>
      </c>
      <c r="G25" s="4" t="n">
        <v>1</v>
      </c>
      <c r="H25" s="4" t="inlineStr">
        <is>
          <t>SS wire, wall brackets</t>
        </is>
      </c>
      <c r="I25" s="10" t="n"/>
      <c r="J25" s="11">
        <f>G25*I25</f>
        <v/>
      </c>
      <c r="K25" s="8" t="inlineStr"/>
      <c r="L25" s="8" t="inlineStr"/>
    </row>
    <row r="26">
      <c r="A26" s="4" t="inlineStr">
        <is>
          <t>F34</t>
        </is>
      </c>
      <c r="B26" s="4" t="inlineStr">
        <is>
          <t>Kitchen</t>
        </is>
      </c>
      <c r="C26" s="4" t="inlineStr">
        <is>
          <t>L-counter, south run: deep drawers for vessels instead of shutters</t>
        </is>
      </c>
      <c r="D26" s="4" t="inlineStr">
        <is>
          <t>Built-in joinery</t>
        </is>
      </c>
      <c r="E26" s="4" t="n">
        <v>11.2</v>
      </c>
      <c r="F26" s="4" t="n">
        <v>2</v>
      </c>
      <c r="G26" s="4" t="n">
        <v>1</v>
      </c>
      <c r="H26" s="4" t="inlineStr">
        <is>
          <t>Granite top, ply carcass</t>
        </is>
      </c>
      <c r="I26" s="10" t="n"/>
      <c r="J26" s="11">
        <f>G26*I26</f>
        <v/>
      </c>
      <c r="K26" s="8" t="inlineStr"/>
      <c r="L26" s="8" t="inlineStr"/>
    </row>
    <row r="27">
      <c r="A27" s="4" t="inlineStr">
        <is>
          <t>F60</t>
        </is>
      </c>
      <c r="B27" s="4" t="inlineStr">
        <is>
          <t>Kitchen</t>
        </is>
      </c>
      <c r="C27" s="4" t="inlineStr">
        <is>
          <t>Utensil rail with hooks beside the hob (ladles, tongs, strainers)</t>
        </is>
      </c>
      <c r="D27" s="4" t="inlineStr">
        <is>
          <t>Loose furniture</t>
        </is>
      </c>
      <c r="E27" s="4" t="n">
        <v>1.7</v>
      </c>
      <c r="F27" s="4" t="n">
        <v>0.15</v>
      </c>
      <c r="G27" s="4" t="n">
        <v>1</v>
      </c>
      <c r="H27" s="4" t="inlineStr">
        <is>
          <t>SS rail and S-hooks</t>
        </is>
      </c>
      <c r="I27" s="10" t="n"/>
      <c r="J27" s="11">
        <f>G27*I27</f>
        <v/>
      </c>
      <c r="K27" s="8" t="inlineStr"/>
      <c r="L27" s="8" t="inlineStr"/>
    </row>
    <row r="28">
      <c r="A28" s="4" t="inlineStr">
        <is>
          <t>F35</t>
        </is>
      </c>
      <c r="B28" s="4" t="inlineStr">
        <is>
          <t>Kitchen</t>
        </is>
      </c>
      <c r="C28" s="4" t="inlineStr">
        <is>
          <t>L-counter, east run (hob centred 7'-6" from the south wall face, on solid wall; pull-out masala drawer beside the hob)</t>
        </is>
      </c>
      <c r="D28" s="4" t="inlineStr">
        <is>
          <t>Built-in joinery</t>
        </is>
      </c>
      <c r="E28" s="4" t="n">
        <v>2</v>
      </c>
      <c r="F28" s="4" t="n">
        <v>6.5</v>
      </c>
      <c r="G28" s="4" t="n">
        <v>1</v>
      </c>
      <c r="H28" s="4" t="inlineStr">
        <is>
          <t>Granite top, cook faces east</t>
        </is>
      </c>
      <c r="I28" s="10" t="n"/>
      <c r="J28" s="11">
        <f>G28*I28</f>
        <v/>
      </c>
      <c r="K28" s="8" t="inlineStr"/>
      <c r="L28" s="8" t="inlineStr"/>
    </row>
    <row r="29">
      <c r="A29" s="4" t="inlineStr">
        <is>
          <t>F36</t>
        </is>
      </c>
      <c r="B29" s="4" t="inlineStr">
        <is>
          <t>Kitchen</t>
        </is>
      </c>
      <c r="C29" s="4" t="inlineStr">
        <is>
          <t>Refrigerator space on the north wall, clear of the entry door</t>
        </is>
      </c>
      <c r="D29" s="4" t="inlineStr">
        <is>
          <t>Appliance / joinery</t>
        </is>
      </c>
      <c r="E29" s="4" t="n">
        <v>2.5</v>
      </c>
      <c r="F29" s="4" t="n">
        <v>2.2</v>
      </c>
      <c r="G29" s="4" t="n">
        <v>1</v>
      </c>
      <c r="H29" s="4" t="inlineStr">
        <is>
          <t>Double-door, 2'6" wide</t>
        </is>
      </c>
      <c r="I29" s="10" t="n"/>
      <c r="J29" s="11">
        <f>G29*I29</f>
        <v/>
      </c>
      <c r="K29" s="8" t="inlineStr"/>
      <c r="L29" s="8" t="inlineStr"/>
    </row>
    <row r="30">
      <c r="A30" s="4" t="inlineStr">
        <is>
          <t>F53</t>
        </is>
      </c>
      <c r="B30" s="4" t="inlineStr">
        <is>
          <t>Living</t>
        </is>
      </c>
      <c r="C30" s="4" t="inlineStr">
        <is>
          <t>TV unit 4'-3" on the stair wall (west wall of the living), 50 in TV above</t>
        </is>
      </c>
      <c r="D30" s="4" t="inlineStr">
        <is>
          <t>Appliance / joinery</t>
        </is>
      </c>
      <c r="E30" s="4" t="n">
        <v>1.3</v>
      </c>
      <c r="F30" s="4" t="n">
        <v>4.3</v>
      </c>
      <c r="G30" s="4" t="n">
        <v>1</v>
      </c>
      <c r="H30" s="4" t="inlineStr">
        <is>
          <t>Teak, low, open shelves</t>
        </is>
      </c>
      <c r="I30" s="10" t="n"/>
      <c r="J30" s="11">
        <f>G30*I30</f>
        <v/>
      </c>
      <c r="K30" s="8" t="inlineStr"/>
      <c r="L30" s="8" t="inlineStr"/>
    </row>
    <row r="31">
      <c r="A31" s="4" t="inlineStr">
        <is>
          <t>F38</t>
        </is>
      </c>
      <c r="B31" s="4" t="inlineStr">
        <is>
          <t>Living</t>
        </is>
      </c>
      <c r="C31" s="4" t="inlineStr">
        <is>
          <t>Sofa 5' (2-3 seats) facing west to the TV about 6'-6" away</t>
        </is>
      </c>
      <c r="D31" s="4" t="inlineStr">
        <is>
          <t>Loose furniture</t>
        </is>
      </c>
      <c r="E31" s="4" t="n">
        <v>2.7</v>
      </c>
      <c r="F31" s="4" t="n">
        <v>5</v>
      </c>
      <c r="G31" s="4" t="n">
        <v>1</v>
      </c>
      <c r="H31" s="4" t="inlineStr">
        <is>
          <t>Teak frame, cotton cushions</t>
        </is>
      </c>
      <c r="I31" s="10" t="n"/>
      <c r="J31" s="11">
        <f>G31*I31</f>
        <v/>
      </c>
      <c r="K31" s="8" t="inlineStr"/>
      <c r="L31" s="8" t="inlineStr"/>
    </row>
    <row r="32">
      <c r="A32" s="4" t="inlineStr">
        <is>
          <t>F39</t>
        </is>
      </c>
      <c r="B32" s="4" t="inlineStr">
        <is>
          <t>Living</t>
        </is>
      </c>
      <c r="C32" s="4" t="inlineStr">
        <is>
          <t>Coffee table 3'2" x 2'</t>
        </is>
      </c>
      <c r="D32" s="4" t="inlineStr">
        <is>
          <t>Loose furniture</t>
        </is>
      </c>
      <c r="E32" s="4" t="n">
        <v>2</v>
      </c>
      <c r="F32" s="4" t="n">
        <v>3.2</v>
      </c>
      <c r="G32" s="4" t="n">
        <v>1</v>
      </c>
      <c r="H32" s="4" t="inlineStr">
        <is>
          <t>Teak</t>
        </is>
      </c>
      <c r="I32" s="10" t="n"/>
      <c r="J32" s="11">
        <f>G32*I32</f>
        <v/>
      </c>
      <c r="K32" s="8" t="inlineStr"/>
      <c r="L32" s="8" t="inlineStr"/>
    </row>
    <row r="33">
      <c r="A33" s="4" t="inlineStr">
        <is>
          <t>F59</t>
        </is>
      </c>
      <c r="B33" s="4" t="inlineStr">
        <is>
          <t>Living</t>
        </is>
      </c>
      <c r="C33" s="4" t="inlineStr">
        <is>
          <t>Vilakku madam: carved teak lamp niche with a light inside, on the wall facing the main door</t>
        </is>
      </c>
      <c r="D33" s="4" t="inlineStr">
        <is>
          <t>Loose furniture</t>
        </is>
      </c>
      <c r="E33" s="4" t="n">
        <v>0.34</v>
      </c>
      <c r="F33" s="4" t="n">
        <v>1.8</v>
      </c>
      <c r="G33" s="4" t="n">
        <v>1</v>
      </c>
      <c r="H33" s="4" t="inlineStr">
        <is>
          <t>Carved teak, brass lamp</t>
        </is>
      </c>
      <c r="I33" s="10" t="n"/>
      <c r="J33" s="11">
        <f>G33*I33</f>
        <v/>
      </c>
      <c r="K33" s="8" t="inlineStr"/>
      <c r="L33" s="8" t="inlineStr"/>
    </row>
    <row r="34">
      <c r="A34" s="4" t="inlineStr">
        <is>
          <t>F52</t>
        </is>
      </c>
      <c r="B34" s="4" t="inlineStr">
        <is>
          <t>Living</t>
        </is>
      </c>
      <c r="C34" s="4" t="inlineStr">
        <is>
          <t>Shoe bench 3'-3" (genkan idea): sit to take shoes off, louvred shoe shelves below, hooks and a keys niche above</t>
        </is>
      </c>
      <c r="D34" s="4" t="inlineStr">
        <is>
          <t>Loose furniture</t>
        </is>
      </c>
      <c r="E34" s="4" t="n">
        <v>1.2</v>
      </c>
      <c r="F34" s="4" t="n">
        <v>3.2</v>
      </c>
      <c r="G34" s="4" t="n">
        <v>1</v>
      </c>
      <c r="H34" s="4" t="inlineStr">
        <is>
          <t>Teak top, ply + laminate, 14 in deep</t>
        </is>
      </c>
      <c r="I34" s="10" t="n"/>
      <c r="J34" s="11">
        <f>G34*I34</f>
        <v/>
      </c>
      <c r="K34" s="8" t="inlineStr"/>
      <c r="L34" s="8" t="inlineStr"/>
    </row>
    <row r="35">
      <c r="A35" s="4" t="inlineStr">
        <is>
          <t>F26</t>
        </is>
      </c>
      <c r="B35" s="4" t="inlineStr">
        <is>
          <t>Pooja</t>
        </is>
      </c>
      <c r="C35" s="4" t="inlineStr">
        <is>
          <t>Pooja mandapam on the east wall (idols face west; family faces east)</t>
        </is>
      </c>
      <c r="D35" s="4" t="inlineStr">
        <is>
          <t>Built-in joinery</t>
        </is>
      </c>
      <c r="E35" s="4" t="n">
        <v>0.6</v>
      </c>
      <c r="F35" s="4" t="n">
        <v>3</v>
      </c>
      <c r="G35" s="4" t="n">
        <v>1</v>
      </c>
      <c r="H35" s="4" t="inlineStr">
        <is>
          <t>Carved teak</t>
        </is>
      </c>
      <c r="I35" s="10" t="n"/>
      <c r="J35" s="11">
        <f>G35*I35</f>
        <v/>
      </c>
      <c r="K35" s="8" t="inlineStr"/>
      <c r="L35" s="8" t="inlineStr"/>
    </row>
    <row r="36">
      <c r="A36" s="4" t="inlineStr">
        <is>
          <t>F41</t>
        </is>
      </c>
      <c r="B36" s="4" t="inlineStr">
        <is>
          <t>Poomukham (verandah)</t>
        </is>
      </c>
      <c r="C36" s="4" t="inlineStr">
        <is>
          <t>Oonjal (swing) 3'6", north side of the verandah, clear of the entrance</t>
        </is>
      </c>
      <c r="D36" s="4" t="inlineStr">
        <is>
          <t>Loose furniture</t>
        </is>
      </c>
      <c r="E36" s="4" t="n">
        <v>3.3</v>
      </c>
      <c r="F36" s="4" t="n">
        <v>1.5</v>
      </c>
      <c r="G36" s="4" t="n">
        <v>1</v>
      </c>
      <c r="H36" s="4" t="inlineStr">
        <is>
          <t>Teak, chains to beam</t>
        </is>
      </c>
      <c r="I36" s="10" t="n"/>
      <c r="J36" s="11">
        <f>G36*I36</f>
        <v/>
      </c>
      <c r="K36" s="8" t="inlineStr"/>
      <c r="L36" s="8" t="inlineStr"/>
    </row>
    <row r="37">
      <c r="A37" s="4" t="inlineStr">
        <is>
          <t>F42</t>
        </is>
      </c>
      <c r="B37" s="4" t="inlineStr">
        <is>
          <t>Poomukham (verandah)</t>
        </is>
      </c>
      <c r="C37" s="4" t="inlineStr">
        <is>
          <t>Charupadi: built-in teak seat with a sloping backrest between the pillars, south of the steps</t>
        </is>
      </c>
      <c r="D37" s="4" t="inlineStr">
        <is>
          <t>Loose furniture</t>
        </is>
      </c>
      <c r="E37" s="4" t="n">
        <v>1.3</v>
      </c>
      <c r="F37" s="4" t="n">
        <v>2.3</v>
      </c>
      <c r="G37" s="4" t="n">
        <v>1</v>
      </c>
      <c r="H37" s="4" t="inlineStr">
        <is>
          <t>Laterite base, teak seat and backrest</t>
        </is>
      </c>
      <c r="I37" s="10" t="n"/>
      <c r="J37" s="11">
        <f>G37*I37</f>
        <v/>
      </c>
      <c r="K37" s="8" t="inlineStr"/>
      <c r="L37" s="8" t="inlineStr"/>
    </row>
    <row r="38">
      <c r="A38" s="4" t="inlineStr">
        <is>
          <t>F69</t>
        </is>
      </c>
      <c r="B38" s="4" t="inlineStr">
        <is>
          <t>Poomukham (verandah)</t>
        </is>
      </c>
      <c r="C38" s="4" t="inlineStr">
        <is>
          <t>Charupadi: built-in teak seat with a sloping backrest between the pillars, north of the steps</t>
        </is>
      </c>
      <c r="D38" s="4" t="inlineStr">
        <is>
          <t>Loose furniture</t>
        </is>
      </c>
      <c r="E38" s="4" t="n">
        <v>1.3</v>
      </c>
      <c r="F38" s="4" t="n">
        <v>1.9</v>
      </c>
      <c r="G38" s="4" t="n">
        <v>1</v>
      </c>
      <c r="H38" s="4" t="inlineStr">
        <is>
          <t>Laterite base, teak seat and backrest</t>
        </is>
      </c>
      <c r="I38" s="10" t="n"/>
      <c r="J38" s="11">
        <f>G38*I38</f>
        <v/>
      </c>
      <c r="K38" s="8" t="inlineStr"/>
      <c r="L38" s="8" t="inlineStr"/>
    </row>
    <row r="39">
      <c r="A39" s="4" t="inlineStr">
        <is>
          <t>F71</t>
        </is>
      </c>
      <c r="B39" s="4" t="inlineStr">
        <is>
          <t>Upper master bedroom</t>
        </is>
      </c>
      <c r="C39" s="4" t="inlineStr">
        <is>
          <t>King bed 6' x 6'6" + headboard, head to the west wall (kept solid against the afternoon sun)</t>
        </is>
      </c>
      <c r="D39" s="4" t="inlineStr">
        <is>
          <t>Loose furniture</t>
        </is>
      </c>
      <c r="E39" s="4" t="n">
        <v>6.6</v>
      </c>
      <c r="F39" s="4" t="n">
        <v>6</v>
      </c>
      <c r="G39" s="4" t="n">
        <v>1</v>
      </c>
      <c r="H39" s="4" t="inlineStr">
        <is>
          <t>Teak</t>
        </is>
      </c>
      <c r="I39" s="10" t="n"/>
      <c r="J39" s="11">
        <f>G39*I39</f>
        <v/>
      </c>
      <c r="K39" s="8" t="inlineStr"/>
      <c r="L39" s="8" t="inlineStr"/>
    </row>
    <row r="40">
      <c r="A40" s="4" t="inlineStr">
        <is>
          <t>F72</t>
        </is>
      </c>
      <c r="B40" s="4" t="inlineStr">
        <is>
          <t>Upper master bedroom</t>
        </is>
      </c>
      <c r="C40" s="4" t="inlineStr">
        <is>
          <t>Floating bedside shelf with a drawer, reading light and charging point above</t>
        </is>
      </c>
      <c r="D40" s="4" t="inlineStr">
        <is>
          <t>Loose furniture</t>
        </is>
      </c>
      <c r="E40" s="4" t="n">
        <v>1</v>
      </c>
      <c r="F40" s="4" t="n">
        <v>1</v>
      </c>
      <c r="G40" s="4" t="n">
        <v>2</v>
      </c>
      <c r="H40" s="4" t="inlineStr">
        <is>
          <t>Teak, wall-hung</t>
        </is>
      </c>
      <c r="I40" s="10" t="n"/>
      <c r="J40" s="11">
        <f>G40*I40</f>
        <v/>
      </c>
      <c r="K40" s="8" t="inlineStr"/>
      <c r="L40" s="8" t="inlineStr"/>
    </row>
    <row r="41">
      <c r="A41" s="4" t="inlineStr">
        <is>
          <t>F73</t>
        </is>
      </c>
      <c r="B41" s="4" t="inlineStr">
        <is>
          <t>Upper master bedroom</t>
        </is>
      </c>
      <c r="C41" s="4" t="inlineStr">
        <is>
          <t>Reading chair by the south window</t>
        </is>
      </c>
      <c r="D41" s="4" t="inlineStr">
        <is>
          <t>Loose furniture</t>
        </is>
      </c>
      <c r="E41" s="4" t="n">
        <v>1.8</v>
      </c>
      <c r="F41" s="4" t="n">
        <v>1.8</v>
      </c>
      <c r="G41" s="4" t="n">
        <v>1</v>
      </c>
      <c r="H41" s="4" t="inlineStr">
        <is>
          <t>Cane / upholstered</t>
        </is>
      </c>
      <c r="I41" s="10" t="n"/>
      <c r="J41" s="11">
        <f>G41*I41</f>
        <v/>
      </c>
      <c r="K41" s="8" t="inlineStr"/>
      <c r="L41" s="8" t="inlineStr"/>
    </row>
    <row r="42">
      <c r="A42" s="4" t="inlineStr">
        <is>
          <t>F75</t>
        </is>
      </c>
      <c r="B42" s="4" t="inlineStr">
        <is>
          <t>Dressing</t>
        </is>
      </c>
      <c r="C42" s="4" t="inlineStr">
        <is>
          <t>Built-in wardrobes 4'-8", full height, lofts above (north wall)</t>
        </is>
      </c>
      <c r="D42" s="4" t="inlineStr">
        <is>
          <t>Built-in joinery</t>
        </is>
      </c>
      <c r="E42" s="4" t="n">
        <v>4.7</v>
      </c>
      <c r="F42" s="4" t="n">
        <v>1.7</v>
      </c>
      <c r="G42" s="4" t="n">
        <v>1</v>
      </c>
      <c r="H42" s="4" t="inlineStr">
        <is>
          <t>Ply + laminate</t>
        </is>
      </c>
      <c r="I42" s="10" t="n"/>
      <c r="J42" s="11">
        <f>G42*I42</f>
        <v/>
      </c>
      <c r="K42" s="8" t="inlineStr"/>
      <c r="L42" s="8" t="inlineStr"/>
    </row>
    <row r="43">
      <c r="A43" s="4" t="inlineStr">
        <is>
          <t>F76</t>
        </is>
      </c>
      <c r="B43" s="4" t="inlineStr">
        <is>
          <t>Dressing</t>
        </is>
      </c>
      <c r="C43" s="4" t="inlineStr">
        <is>
          <t>Dresser with drawers (south wall, under the high window)</t>
        </is>
      </c>
      <c r="D43" s="4" t="inlineStr">
        <is>
          <t>Loose furniture</t>
        </is>
      </c>
      <c r="E43" s="4" t="n">
        <v>3</v>
      </c>
      <c r="F43" s="4" t="n">
        <v>0.8</v>
      </c>
      <c r="G43" s="4" t="n">
        <v>1</v>
      </c>
      <c r="H43" s="4" t="inlineStr">
        <is>
          <t>Teak</t>
        </is>
      </c>
      <c r="I43" s="10" t="n"/>
      <c r="J43" s="11">
        <f>G43*I43</f>
        <v/>
      </c>
      <c r="K43" s="8" t="inlineStr"/>
      <c r="L43" s="8" t="inlineStr"/>
    </row>
    <row r="44">
      <c r="A44" s="4" t="inlineStr">
        <is>
          <t>F77</t>
        </is>
      </c>
      <c r="B44" s="4" t="inlineStr">
        <is>
          <t>Upper master bath</t>
        </is>
      </c>
      <c r="C44" s="4" t="inlineStr">
        <is>
          <t>WC (EWC) on the east wall</t>
        </is>
      </c>
      <c r="D44" s="4" t="inlineStr">
        <is>
          <t>Sanitary / plumbing</t>
        </is>
      </c>
      <c r="E44" s="4" t="n">
        <v>1.6</v>
      </c>
      <c r="F44" s="4" t="n">
        <v>1.2</v>
      </c>
      <c r="G44" s="4" t="n">
        <v>1</v>
      </c>
      <c r="H44" s="4" t="inlineStr">
        <is>
          <t>Wall-hung, concealed cistern</t>
        </is>
      </c>
      <c r="I44" s="10" t="n"/>
      <c r="J44" s="11">
        <f>G44*I44</f>
        <v/>
      </c>
      <c r="K44" s="8" t="inlineStr"/>
      <c r="L44" s="8" t="inlineStr"/>
    </row>
    <row r="45">
      <c r="A45" s="4" t="inlineStr">
        <is>
          <t>F78</t>
        </is>
      </c>
      <c r="B45" s="4" t="inlineStr">
        <is>
          <t>Upper master bath</t>
        </is>
      </c>
      <c r="C45" s="4" t="inlineStr">
        <is>
          <t>Wash basin with a mirror cabinet above</t>
        </is>
      </c>
      <c r="D45" s="4" t="inlineStr">
        <is>
          <t>Sanitary / plumbing</t>
        </is>
      </c>
      <c r="E45" s="4" t="n">
        <v>0.7</v>
      </c>
      <c r="F45" s="4" t="n">
        <v>1.2</v>
      </c>
      <c r="G45" s="4" t="n">
        <v>1</v>
      </c>
      <c r="H45" s="4" t="inlineStr">
        <is>
          <t>Wall-hung</t>
        </is>
      </c>
      <c r="I45" s="10" t="n"/>
      <c r="J45" s="11">
        <f>G45*I45</f>
        <v/>
      </c>
      <c r="K45" s="8" t="inlineStr"/>
      <c r="L45" s="8" t="inlineStr"/>
    </row>
    <row r="46">
      <c r="A46" s="4" t="inlineStr">
        <is>
          <t>F79</t>
        </is>
      </c>
      <c r="B46" s="4" t="inlineStr">
        <is>
          <t>Upper master bath</t>
        </is>
      </c>
      <c r="C46" s="4" t="inlineStr">
        <is>
          <t>Shower glass partition (shower across the north end)</t>
        </is>
      </c>
      <c r="D46" s="4" t="inlineStr">
        <is>
          <t>Sanitary / plumbing</t>
        </is>
      </c>
      <c r="E46" s="4" t="n">
        <v>2</v>
      </c>
      <c r="F46" s="4" t="n">
        <v>0.15</v>
      </c>
      <c r="G46" s="4" t="n">
        <v>1</v>
      </c>
      <c r="H46" s="4" t="inlineStr">
        <is>
          <t>8 mm toughened glass</t>
        </is>
      </c>
      <c r="I46" s="10" t="n"/>
      <c r="J46" s="11">
        <f>G46*I46</f>
        <v/>
      </c>
      <c r="K46" s="8" t="inlineStr"/>
      <c r="L46" s="8" t="inlineStr"/>
    </row>
    <row r="47">
      <c r="A47" s="4" t="inlineStr">
        <is>
          <t>F80</t>
        </is>
      </c>
      <c r="B47" s="4" t="inlineStr">
        <is>
          <t>Outdoor lounge (covered)</t>
        </is>
      </c>
      <c r="C47" s="4" t="inlineStr">
        <is>
          <t>Built-in diwan 6' along the north rail (cushions, bolsters)</t>
        </is>
      </c>
      <c r="D47" s="4" t="inlineStr">
        <is>
          <t>Loose furniture</t>
        </is>
      </c>
      <c r="E47" s="4" t="n">
        <v>6</v>
      </c>
      <c r="F47" s="4" t="n">
        <v>1.7</v>
      </c>
      <c r="G47" s="4" t="n">
        <v>1</v>
      </c>
      <c r="H47" s="4" t="inlineStr">
        <is>
          <t>Teak, weatherproof cushions</t>
        </is>
      </c>
      <c r="I47" s="10" t="n"/>
      <c r="J47" s="11">
        <f>G47*I47</f>
        <v/>
      </c>
      <c r="K47" s="8" t="inlineStr"/>
      <c r="L47" s="8" t="inlineStr"/>
    </row>
    <row r="48">
      <c r="A48" s="4" t="inlineStr">
        <is>
          <t>F81</t>
        </is>
      </c>
      <c r="B48" s="4" t="inlineStr">
        <is>
          <t>Outdoor lounge (covered)</t>
        </is>
      </c>
      <c r="C48" s="4" t="inlineStr">
        <is>
          <t>Cane armchair</t>
        </is>
      </c>
      <c r="D48" s="4" t="inlineStr">
        <is>
          <t>Loose furniture</t>
        </is>
      </c>
      <c r="E48" s="4" t="n">
        <v>1.8</v>
      </c>
      <c r="F48" s="4" t="n">
        <v>1.8</v>
      </c>
      <c r="G48" s="4" t="n">
        <v>1</v>
      </c>
      <c r="H48" s="4" t="inlineStr">
        <is>
          <t>Cane</t>
        </is>
      </c>
      <c r="I48" s="10" t="n"/>
      <c r="J48" s="11">
        <f>G48*I48</f>
        <v/>
      </c>
      <c r="K48" s="8" t="inlineStr"/>
      <c r="L48" s="8" t="inlineStr"/>
    </row>
    <row r="49">
      <c r="A49" s="4" t="inlineStr">
        <is>
          <t>F82</t>
        </is>
      </c>
      <c r="B49" s="4" t="inlineStr">
        <is>
          <t>Outdoor lounge (covered)</t>
        </is>
      </c>
      <c r="C49" s="4" t="inlineStr">
        <is>
          <t>Low coffee table</t>
        </is>
      </c>
      <c r="D49" s="4" t="inlineStr">
        <is>
          <t>Loose furniture</t>
        </is>
      </c>
      <c r="E49" s="4" t="n">
        <v>3</v>
      </c>
      <c r="F49" s="4" t="n">
        <v>1.8</v>
      </c>
      <c r="G49" s="4" t="n">
        <v>1</v>
      </c>
      <c r="H49" s="4" t="inlineStr">
        <is>
          <t>Teak</t>
        </is>
      </c>
      <c r="I49" s="10" t="n"/>
      <c r="J49" s="11">
        <f>G49*I49</f>
        <v/>
      </c>
      <c r="K49" s="8" t="inlineStr"/>
      <c r="L49" s="8" t="inlineStr"/>
    </row>
    <row r="50">
      <c r="A50" s="4" t="inlineStr">
        <is>
          <t>F83</t>
        </is>
      </c>
      <c r="B50" s="4" t="inlineStr">
        <is>
          <t>Upper passage</t>
        </is>
      </c>
      <c r="C50" s="4" t="inlineStr">
        <is>
          <t>Open bookshelf at the end of the passage (reading nook)</t>
        </is>
      </c>
      <c r="D50" s="4" t="inlineStr">
        <is>
          <t>Built-in joinery</t>
        </is>
      </c>
      <c r="E50" s="4" t="n">
        <v>1.2</v>
      </c>
      <c r="F50" s="4" t="n">
        <v>4.6</v>
      </c>
      <c r="G50" s="4" t="n">
        <v>1</v>
      </c>
      <c r="H50" s="4" t="inlineStr">
        <is>
          <t>Teak / ply, open shelves</t>
        </is>
      </c>
      <c r="I50" s="10" t="n"/>
      <c r="J50" s="11">
        <f>G50*I50</f>
        <v/>
      </c>
      <c r="K50" s="8" t="inlineStr"/>
      <c r="L50" s="8" t="inlineStr"/>
    </row>
    <row r="51">
      <c r="A51" s="4" t="inlineStr">
        <is>
          <t>F84</t>
        </is>
      </c>
      <c r="B51" s="4" t="inlineStr">
        <is>
          <t>Covered terrace</t>
        </is>
      </c>
      <c r="C51" s="4" t="inlineStr">
        <is>
          <t>Built-in diwan 6' against the stair wall (cushions, bolsters, storage below)</t>
        </is>
      </c>
      <c r="D51" s="4" t="inlineStr">
        <is>
          <t>Loose furniture</t>
        </is>
      </c>
      <c r="E51" s="4" t="n">
        <v>2</v>
      </c>
      <c r="F51" s="4" t="n">
        <v>6</v>
      </c>
      <c r="G51" s="4" t="n">
        <v>1</v>
      </c>
      <c r="H51" s="4" t="inlineStr">
        <is>
          <t>Teak, weatherproof cushions</t>
        </is>
      </c>
      <c r="I51" s="10" t="n"/>
      <c r="J51" s="11">
        <f>G51*I51</f>
        <v/>
      </c>
      <c r="K51" s="8" t="inlineStr"/>
      <c r="L51" s="8" t="inlineStr"/>
    </row>
    <row r="52">
      <c r="A52" s="4" t="inlineStr">
        <is>
          <t>F85</t>
        </is>
      </c>
      <c r="B52" s="4" t="inlineStr">
        <is>
          <t>Covered terrace</t>
        </is>
      </c>
      <c r="C52" s="4" t="inlineStr">
        <is>
          <t>Low coffee table</t>
        </is>
      </c>
      <c r="D52" s="4" t="inlineStr">
        <is>
          <t>Loose furniture</t>
        </is>
      </c>
      <c r="E52" s="4" t="n">
        <v>2.5</v>
      </c>
      <c r="F52" s="4" t="n">
        <v>3</v>
      </c>
      <c r="G52" s="4" t="n">
        <v>1</v>
      </c>
      <c r="H52" s="4" t="inlineStr">
        <is>
          <t>Teak</t>
        </is>
      </c>
      <c r="I52" s="10" t="n"/>
      <c r="J52" s="11">
        <f>G52*I52</f>
        <v/>
      </c>
      <c r="K52" s="8" t="inlineStr"/>
      <c r="L52" s="8" t="inlineStr"/>
    </row>
    <row r="53">
      <c r="A53" s="4" t="inlineStr">
        <is>
          <t>F86</t>
        </is>
      </c>
      <c r="B53" s="4" t="inlineStr">
        <is>
          <t>Covered terrace</t>
        </is>
      </c>
      <c r="C53" s="4" t="inlineStr">
        <is>
          <t>Cane armchair</t>
        </is>
      </c>
      <c r="D53" s="4" t="inlineStr">
        <is>
          <t>Loose furniture</t>
        </is>
      </c>
      <c r="E53" s="4" t="n">
        <v>1.8</v>
      </c>
      <c r="F53" s="4" t="n">
        <v>1.8</v>
      </c>
      <c r="G53" s="4" t="n">
        <v>1</v>
      </c>
      <c r="H53" s="4" t="inlineStr">
        <is>
          <t>Cane</t>
        </is>
      </c>
      <c r="I53" s="10" t="n"/>
      <c r="J53" s="11">
        <f>G53*I53</f>
        <v/>
      </c>
      <c r="K53" s="8" t="inlineStr"/>
      <c r="L53" s="8" t="inlineStr"/>
    </row>
    <row r="54">
      <c r="A54" s="4" t="inlineStr">
        <is>
          <t>F87</t>
        </is>
      </c>
      <c r="B54" s="4" t="inlineStr">
        <is>
          <t>Covered terrace</t>
        </is>
      </c>
      <c r="C54" s="4" t="inlineStr">
        <is>
          <t>Cane armchair</t>
        </is>
      </c>
      <c r="D54" s="4" t="inlineStr">
        <is>
          <t>Loose furniture</t>
        </is>
      </c>
      <c r="E54" s="4" t="n">
        <v>1.8</v>
      </c>
      <c r="F54" s="4" t="n">
        <v>1.8</v>
      </c>
      <c r="G54" s="4" t="n">
        <v>1</v>
      </c>
      <c r="H54" s="4" t="inlineStr">
        <is>
          <t>Cane</t>
        </is>
      </c>
      <c r="I54" s="10" t="n"/>
      <c r="J54" s="11">
        <f>G54*I54</f>
        <v/>
      </c>
      <c r="K54" s="8" t="inlineStr"/>
      <c r="L54" s="8" t="inlineStr"/>
    </row>
    <row r="55">
      <c r="A55" s="4" t="inlineStr">
        <is>
          <t>F88</t>
        </is>
      </c>
      <c r="B55" s="4" t="inlineStr">
        <is>
          <t>Covered terrace</t>
        </is>
      </c>
      <c r="C55" s="4" t="inlineStr">
        <is>
          <t>Clothes-drying rails hung from the steel frame (dry in the monsoon, out of sight from the road)</t>
        </is>
      </c>
      <c r="D55" s="4" t="inlineStr">
        <is>
          <t>Loose furniture</t>
        </is>
      </c>
      <c r="E55" s="4" t="n">
        <v>8</v>
      </c>
      <c r="F55" s="4" t="n">
        <v>2.5</v>
      </c>
      <c r="G55" s="4" t="n">
        <v>1</v>
      </c>
      <c r="H55" s="4" t="inlineStr">
        <is>
          <t>Aluminium rails on pulleys</t>
        </is>
      </c>
      <c r="I55" s="10" t="n"/>
      <c r="J55" s="11">
        <f>G55*I55</f>
        <v/>
      </c>
      <c r="K55" s="8" t="inlineStr"/>
      <c r="L55" s="8" t="inlineStr"/>
    </row>
    <row r="56">
      <c r="A56" s="4" t="inlineStr">
        <is>
          <t>F89</t>
        </is>
      </c>
      <c r="B56" s="4" t="inlineStr">
        <is>
          <t>Covered terrace</t>
        </is>
      </c>
      <c r="C56" s="4" t="inlineStr">
        <is>
          <t>Planter boxes along the east railing</t>
        </is>
      </c>
      <c r="D56" s="4" t="inlineStr">
        <is>
          <t>Loose furniture</t>
        </is>
      </c>
      <c r="E56" s="4" t="n">
        <v>1.2</v>
      </c>
      <c r="F56" s="4" t="n">
        <v>11</v>
      </c>
      <c r="G56" s="4" t="n">
        <v>1</v>
      </c>
      <c r="H56" s="4" t="inlineStr">
        <is>
          <t>Ferrocement, drained to the terrace drain</t>
        </is>
      </c>
      <c r="I56" s="10" t="n"/>
      <c r="J56" s="11">
        <f>G56*I56</f>
        <v/>
      </c>
      <c r="K56" s="8" t="inlineStr"/>
      <c r="L56" s="8" t="inlineStr"/>
    </row>
    <row r="57">
      <c r="A57" s="6" t="inlineStr"/>
      <c r="B57" s="6" t="inlineStr"/>
      <c r="C57" s="6" t="inlineStr">
        <is>
          <t>Total</t>
        </is>
      </c>
      <c r="D57" s="6" t="inlineStr"/>
      <c r="E57" s="6" t="inlineStr"/>
      <c r="F57" s="6" t="inlineStr"/>
      <c r="G57" s="6">
        <f>SUM(G2:G56)</f>
        <v/>
      </c>
      <c r="H57" s="6" t="inlineStr"/>
      <c r="I57" s="12" t="inlineStr"/>
      <c r="J57" s="12">
        <f>SUM(J2:J56)</f>
        <v/>
      </c>
      <c r="K57" s="6" t="inlineStr"/>
      <c r="L57" s="6" t="inlineStr"/>
    </row>
  </sheetData>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F13"/>
  <sheetViews>
    <sheetView workbookViewId="0">
      <pane ySplit="1" topLeftCell="A2" activePane="bottomLeft" state="frozen"/>
      <selection pane="bottomLeft" activeCell="A1" sqref="A1"/>
    </sheetView>
  </sheetViews>
  <sheetFormatPr baseColWidth="8" defaultRowHeight="15"/>
  <cols>
    <col width="34" customWidth="1" min="1" max="1"/>
    <col width="32" customWidth="1" min="2" max="2"/>
    <col width="32" customWidth="1" min="3" max="3"/>
    <col width="34" customWidth="1" min="4" max="4"/>
    <col width="26" customWidth="1" min="5" max="5"/>
    <col width="16" customWidth="1" min="6" max="6"/>
  </cols>
  <sheetData>
    <row r="1" ht="30" customHeight="1">
      <c r="A1" s="3" t="inlineStr">
        <is>
          <t>Space</t>
        </is>
      </c>
      <c r="B1" s="3" t="inlineStr">
        <is>
          <t>Floor</t>
        </is>
      </c>
      <c r="C1" s="3" t="inlineStr">
        <is>
          <t>Walls</t>
        </is>
      </c>
      <c r="D1" s="3" t="inlineStr">
        <is>
          <t>Ceiling</t>
        </is>
      </c>
      <c r="E1" s="3" t="inlineStr">
        <is>
          <t>Notes</t>
        </is>
      </c>
      <c r="F1" s="3" t="inlineStr">
        <is>
          <t>Decision</t>
        </is>
      </c>
    </row>
    <row r="2">
      <c r="A2" s="4" t="inlineStr">
        <is>
          <t>Living, dining</t>
        </is>
      </c>
      <c r="B2" s="4" t="inlineStr">
        <is>
          <t>Red oxide (IPS) or polished Kota / Tandur stone</t>
        </is>
      </c>
      <c r="C2" s="4" t="inlineStr">
        <is>
          <t>4 in flush skirting in floor stone; lime-finish or mineral paint</t>
        </is>
      </c>
      <c r="D2" s="4" t="inlineStr">
        <is>
          <t>RCC slab soffit at 9'-5", plastered (the covered terrace above keeps it shaded)</t>
        </is>
      </c>
      <c r="E2" s="4" t="inlineStr">
        <is>
          <t>Stone hides dust better than glossy white tile</t>
        </is>
      </c>
      <c r="F2" s="8" t="inlineStr"/>
    </row>
    <row r="3">
      <c r="A3" s="4" t="inlineStr">
        <is>
          <t>Bedrooms, dressing</t>
        </is>
      </c>
      <c r="B3" s="4" t="inlineStr">
        <is>
          <t>Matt vitrified 2x2 ft or red oxide</t>
        </is>
      </c>
      <c r="C3" s="4" t="inlineStr">
        <is>
          <t>4 in flush skirting; putty + washable emulsion</t>
        </is>
      </c>
      <c r="D3" s="4" t="inlineStr">
        <is>
          <t>Ground floor: RCC slab soffit at 9'-5", plastered; first floor: false ceiling at 9'-6", 50 mm insulation above</t>
        </is>
      </c>
      <c r="E3" s="4" t="inlineStr">
        <is>
          <t>First-floor rooms sit under the roof: ventilated attic above the false ceiling</t>
        </is>
      </c>
      <c r="F3" s="8" t="inlineStr"/>
    </row>
    <row r="4">
      <c r="A4" s="4" t="inlineStr">
        <is>
          <t>Pooja</t>
        </is>
      </c>
      <c r="B4" s="4" t="inlineStr">
        <is>
          <t>White marble or teak</t>
        </is>
      </c>
      <c r="C4" s="4" t="inlineStr">
        <is>
          <t>Teak panelling behind idol; 4 in marble skirting</t>
        </is>
      </c>
      <c r="D4" s="4" t="inlineStr">
        <is>
          <t>Teak / board at 9'-6"</t>
        </is>
      </c>
      <c r="E4" s="4" t="inlineStr">
        <is>
          <t>Idols on the east wall facing west (family faces east); lamp niche with heat-proof back</t>
        </is>
      </c>
      <c r="F4" s="8" t="inlineStr"/>
    </row>
    <row r="5">
      <c r="A5" s="4" t="inlineStr">
        <is>
          <t>Kitchen</t>
        </is>
      </c>
      <c r="B5" s="4" t="inlineStr">
        <is>
          <t>Anti-skid matt vitrified or Kota, mid-tone</t>
        </is>
      </c>
      <c r="C5" s="4" t="inlineStr">
        <is>
          <t>Tile / stone full height between counter and wall cabinets</t>
        </is>
      </c>
      <c r="D5" s="4" t="inlineStr">
        <is>
          <t>Moisture-resistant board at 9'-6", storage loft above</t>
        </is>
      </c>
      <c r="E5" s="4" t="inlineStr">
        <is>
          <t>Counter granite (local Ongole / Chimakurthy), 2 ft deep; deep drawers for vessels, pull-out masala drawer by the hob, utensil rail on the wall beside it</t>
        </is>
      </c>
      <c r="F5" s="8" t="inlineStr"/>
    </row>
    <row r="6">
      <c r="A6" s="4" t="inlineStr">
        <is>
          <t>Master bath, common bath, upper bath</t>
        </is>
      </c>
      <c r="B6" s="4" t="inlineStr">
        <is>
          <t>Anti-skid ceramic (R11), falls 1:60 to drain</t>
        </is>
      </c>
      <c r="C6" s="4" t="inlineStr">
        <is>
          <t>Tiles to 7 ft; full height in shower; waterproofing 12 in up all walls, 7 ft in shower</t>
        </is>
      </c>
      <c r="D6" s="4" t="inlineStr">
        <is>
          <t>Moisture-resistant board / PVC at 8'-6"</t>
        </is>
      </c>
      <c r="E6" s="4" t="inlineStr">
        <is>
          <t>Recessed tiled shower niche with a sloped sill; mirror cabinet over the basin; towel and clothes hooks at the dry end; 12 mm step down, no raised threshold; doors open outward; SS grab bars by the WC and in the shower. The upper bath sits over the common bath: waterproof the slab and flood-test it before tiling</t>
        </is>
      </c>
      <c r="F6" s="8" t="inlineStr"/>
    </row>
    <row r="7">
      <c r="A7" s="4" t="inlineStr">
        <is>
          <t>Wet area</t>
        </is>
      </c>
      <c r="B7" s="4" t="inlineStr">
        <is>
          <t>Rough Cuddapah / Kota stone, falls to drain</t>
        </is>
      </c>
      <c r="C7" s="4" t="inlineStr">
        <is>
          <t>4 ft stone or tile dado</t>
        </is>
      </c>
      <c r="D7" s="4" t="inlineStr">
        <is>
          <t>Board at 9'-6"</t>
        </is>
      </c>
      <c r="E7" s="4" t="inlineStr">
        <is>
          <t>Service door to the walkway with a 6 in kerb</t>
        </is>
      </c>
      <c r="F7" s="8" t="inlineStr"/>
    </row>
    <row r="8">
      <c r="A8" s="4" t="inlineStr">
        <is>
          <t>Stair</t>
        </is>
      </c>
      <c r="B8" s="4" t="inlineStr">
        <is>
          <t>Granite or Kota treads with a rounded nosing and anti-slip grooves, 10 in treads, 7 in risers</t>
        </is>
      </c>
      <c r="C8" s="4" t="inlineStr">
        <is>
          <t>Teak handrail at 3 ft on the open side, timber jali to the living</t>
        </is>
      </c>
      <c r="D8" s="4" t="inlineStr">
        <is>
          <t>Open to the roof</t>
        </is>
      </c>
      <c r="E8" s="4" t="inlineStr">
        <is>
          <t>Light at the half landing and at the top; 2-way switches</t>
        </is>
      </c>
      <c r="F8" s="8" t="inlineStr"/>
    </row>
    <row r="9">
      <c r="A9" s="4" t="inlineStr">
        <is>
          <t>Store, lobby, landing, passage</t>
        </is>
      </c>
      <c r="B9" s="4" t="inlineStr">
        <is>
          <t>Red oxide or vitrified</t>
        </is>
      </c>
      <c r="C9" s="4" t="inlineStr">
        <is>
          <t>4 in flush skirting; washable paint</t>
        </is>
      </c>
      <c r="D9" s="4" t="inlineStr">
        <is>
          <t>Slab soffit / board</t>
        </is>
      </c>
      <c r="E9" s="4" t="inlineStr"/>
      <c r="F9" s="8" t="inlineStr"/>
    </row>
    <row r="10">
      <c r="A10" s="4" t="inlineStr">
        <is>
          <t>Outdoor lounge and covered terrace (first floor)</t>
        </is>
      </c>
      <c r="B10" s="4" t="inlineStr">
        <is>
          <t>Terracotta anti-skid tile on a waterproofed slab, falls 1:80 to a drain</t>
        </is>
      </c>
      <c r="C10" s="4" t="inlineStr">
        <is>
          <t>Railing 3'-6" on the open sides (teak cap, MS or teak balusters); bamboo chiks on the west and south</t>
        </is>
      </c>
      <c r="D10" s="4" t="inlineStr">
        <is>
          <t>Steel trusses and the tiled roof above, painted; galvanised steel posts at the terrace edge</t>
        </is>
      </c>
      <c r="E10" s="4" t="inlineStr">
        <is>
          <t>Slab waterproofing and a 48 h flood test before tiling: both sit over bedrooms and the living</t>
        </is>
      </c>
      <c r="F10" s="8" t="inlineStr"/>
    </row>
    <row r="11">
      <c r="A11" s="4" t="inlineStr">
        <is>
          <t>Poomukham, steps</t>
        </is>
      </c>
      <c r="B11" s="4" t="inlineStr">
        <is>
          <t>Flamed / leather-finish granite (not polished)</t>
        </is>
      </c>
      <c r="C11" s="4" t="inlineStr">
        <is>
          <t>Granite skirting; plinth face clad 2 ft (splash zone)</t>
        </is>
      </c>
      <c r="D11" s="4" t="inlineStr">
        <is>
          <t>Exposed rafters + board</t>
        </is>
      </c>
      <c r="E11" s="4" t="inlineStr">
        <is>
          <t>Polished stone is slippery when wet</t>
        </is>
      </c>
      <c r="F11" s="8" t="inlineStr"/>
    </row>
    <row r="12">
      <c r="A12" s="4" t="inlineStr">
        <is>
          <t>Exterior</t>
        </is>
      </c>
      <c r="B12" s="4" t="inlineStr">
        <is>
          <t>Plinth apron: PCC 3 ft wide sloped away</t>
        </is>
      </c>
      <c r="C12" s="4" t="inlineStr">
        <is>
          <t>AAC + 20 mm plaster with waterproof additive; elastomeric paint</t>
        </is>
      </c>
      <c r="D12" s="4" t="inlineStr">
        <is>
          <t>-</t>
        </is>
      </c>
      <c r="E12" s="4" t="inlineStr">
        <is>
          <t>Drip grooves under every sill and sunshade</t>
        </is>
      </c>
      <c r="F12" s="8" t="inlineStr"/>
    </row>
    <row r="13">
      <c r="A13" s="4" t="inlineStr">
        <is>
          <t>Roof (all)</t>
        </is>
      </c>
      <c r="B13" s="4" t="inlineStr">
        <is>
          <t>Mangalore clay tiles, every edge tile clipped / screwed</t>
        </is>
      </c>
      <c r="C13" s="4" t="inlineStr">
        <is>
          <t>Membrane + 50 mm insulation on cement-fibre deck</t>
        </is>
      </c>
      <c r="D13" s="4" t="inlineStr">
        <is>
          <t>Steel truss on RCC ring beams (first-floor walls for the main roof, ground-floor walls for the front gable)</t>
        </is>
      </c>
      <c r="E13" s="4" t="inlineStr">
        <is>
          <t>Cyclone winds: tie trusses down with holding-down bolts</t>
        </is>
      </c>
      <c r="F13"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34"/>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70" customWidth="1" min="3" max="3"/>
    <col width="50" customWidth="1" min="4" max="4"/>
  </cols>
  <sheetData>
    <row r="1" ht="30" customHeight="1">
      <c r="A1" s="3" t="inlineStr">
        <is>
          <t>Category</t>
        </is>
      </c>
      <c r="B1" s="3" t="inlineStr">
        <is>
          <t>Element</t>
        </is>
      </c>
      <c r="C1" s="3" t="inlineStr">
        <is>
          <t>Specification</t>
        </is>
      </c>
      <c r="D1" s="3" t="inlineStr">
        <is>
          <t>Why (Guntur)</t>
        </is>
      </c>
    </row>
    <row r="2">
      <c r="A2" s="4" t="inlineStr">
        <is>
          <t>Substructure</t>
        </is>
      </c>
      <c r="B2" s="4" t="inlineStr">
        <is>
          <t>Soil investigation</t>
        </is>
      </c>
      <c r="C2" s="4" t="inlineStr">
        <is>
          <t>Min. 2 bore holes to 3 m or refusal; swell test, SBC</t>
        </is>
      </c>
      <c r="D2" s="4" t="inlineStr">
        <is>
          <t>Black cotton soil swells when wet and shrinks when dry</t>
        </is>
      </c>
    </row>
    <row r="3">
      <c r="A3" s="4" t="inlineStr">
        <is>
          <t>Substructure</t>
        </is>
      </c>
      <c r="B3" s="4" t="inlineStr">
        <is>
          <t>Foundations</t>
        </is>
      </c>
      <c r="C3" s="4" t="inlineStr">
        <is>
          <t>As per engineer: footings below the active zone (often 1.5-2.5 m) or under-reamed piles; 300 mm sand/moorum cushion</t>
        </is>
      </c>
      <c r="D3" s="4" t="inlineStr">
        <is>
          <t>Prevents seasonal heave cracking</t>
        </is>
      </c>
    </row>
    <row r="4">
      <c r="A4" s="4" t="inlineStr">
        <is>
          <t>Site</t>
        </is>
      </c>
      <c r="B4" s="4" t="inlineStr">
        <is>
          <t>Compound wall</t>
        </is>
      </c>
      <c r="C4" s="4" t="inlineStr">
        <is>
          <t>Precast RCC post-and-panel wall, 5 ft high: 4 in square posts at about 7 ft centres on small pad footings, 2 in slotted panels, set just inside the plot line; panels lift out, so the north run can be moved if the north strip is bought</t>
        </is>
      </c>
      <c r="D4" s="4" t="inlineStr">
        <is>
          <t>Thinnest practical wall: keeps the 2 ft north gap and 3 ft south walkway usable; cheap, quick and reusable</t>
        </is>
      </c>
    </row>
    <row r="5">
      <c r="A5" s="4" t="inlineStr">
        <is>
          <t>Substructure</t>
        </is>
      </c>
      <c r="B5" s="4" t="inlineStr">
        <is>
          <t>Plinth beam + DPC</t>
        </is>
      </c>
      <c r="C5" s="4" t="inlineStr">
        <is>
          <t>RCC plinth beam all round; 40 mm DPC with waterproofing compound at plinth top</t>
        </is>
      </c>
      <c r="D5" s="4" t="inlineStr">
        <is>
          <t>Stops rising damp into AAC</t>
        </is>
      </c>
    </row>
    <row r="6">
      <c r="A6" s="4" t="inlineStr">
        <is>
          <t>Substructure</t>
        </is>
      </c>
      <c r="B6" s="4" t="inlineStr">
        <is>
          <t>Plinth fill</t>
        </is>
      </c>
      <c r="C6" s="4" t="inlineStr">
        <is>
          <t>Non-expansive moorum / gravel in 150 mm layers, compacted; no black soil fill</t>
        </is>
      </c>
      <c r="D6" s="4" t="inlineStr">
        <is>
          <t>Black soil under the floor will heave the slab</t>
        </is>
      </c>
    </row>
    <row r="7">
      <c r="A7" s="4" t="inlineStr">
        <is>
          <t>Substructure</t>
        </is>
      </c>
      <c r="B7" s="4" t="inlineStr">
        <is>
          <t>Anti-termite</t>
        </is>
      </c>
      <c r="C7" s="4" t="inlineStr">
        <is>
          <t>Pre-construction chemical treatment (IS 6313) at foundation, plinth fill and around walls</t>
        </is>
      </c>
      <c r="D7" s="4" t="inlineStr">
        <is>
          <t>High termite risk; cannot be redone easily later</t>
        </is>
      </c>
    </row>
    <row r="8">
      <c r="A8" s="4" t="inlineStr">
        <is>
          <t>Substructure</t>
        </is>
      </c>
      <c r="B8" s="4" t="inlineStr">
        <is>
          <t>Plinth protection</t>
        </is>
      </c>
      <c r="C8" s="4" t="inlineStr">
        <is>
          <t>3 ft PCC apron with slope away, joint sealed to wall</t>
        </is>
      </c>
      <c r="D8" s="4" t="inlineStr">
        <is>
          <t>Keeps rain off expansive soil next to foundations</t>
        </is>
      </c>
    </row>
    <row r="9">
      <c r="A9" s="4" t="inlineStr">
        <is>
          <t>Frame</t>
        </is>
      </c>
      <c r="B9" s="4" t="inlineStr">
        <is>
          <t>Columns, beams, bands</t>
        </is>
      </c>
      <c r="C9" s="4" t="inlineStr">
        <is>
          <t>RCC frame; lintel band at door head, ring beam at wall top; seismic zone III detailing (IS 13920 as engineer decides)</t>
        </is>
      </c>
      <c r="D9" s="4" t="inlineStr">
        <is>
          <t>AAC infill is not load-bearing for truss + cyclone loads</t>
        </is>
      </c>
    </row>
    <row r="10">
      <c r="A10" s="4" t="inlineStr">
        <is>
          <t>Frame</t>
        </is>
      </c>
      <c r="B10" s="4" t="inlineStr">
        <is>
          <t>First-floor slab and stair</t>
        </is>
      </c>
      <c r="C10" s="4" t="inlineStr">
        <is>
          <t>RCC slab over the whole two-storey block (about 5 in, by engineer) with drop beams at the stair well and an edge beam round the terrace; dog-leg RCC stair, 17 risers of about 7 in, 10 in treads, waist slab by engineer; columns run full height for two floors</t>
        </is>
      </c>
      <c r="D10" s="4" t="inlineStr">
        <is>
          <t>Two storeys: the slab carries the upper master, bath, lounge and terrace</t>
        </is>
      </c>
    </row>
    <row r="11">
      <c r="A11" s="4" t="inlineStr">
        <is>
          <t>Frame</t>
        </is>
      </c>
      <c r="B11" s="4" t="inlineStr">
        <is>
          <t>Covered terrace roof frame</t>
        </is>
      </c>
      <c r="C11" s="4" t="inlineStr">
        <is>
          <t>Hot-dip galvanised steel posts (about 100 x 100 mm SHS) on RCC column stubs at the slab edge, bolted base plates with grout; steel trusses and purlins carry the same clay-tile roof as the rest of the house; all steel primed and painted, bolted connections</t>
        </is>
      </c>
      <c r="D11" s="4" t="inlineStr">
        <is>
          <t>A light frame instead of walls keeps the terrace open; galvanising resists the humid, salty coastal air</t>
        </is>
      </c>
    </row>
    <row r="12">
      <c r="A12" s="4" t="inlineStr">
        <is>
          <t>Walls</t>
        </is>
      </c>
      <c r="B12" s="4" t="inlineStr">
        <is>
          <t>AAC blocks</t>
        </is>
      </c>
      <c r="C12" s="4" t="inlineStr">
        <is>
          <t>IS 2185-3, 200 mm outer / 150 mm wet walls / 100 mm inner; thin-bed polymer mortar</t>
        </is>
      </c>
      <c r="D12" s="4" t="inlineStr">
        <is>
          <t>Better insulation than brick; lighter frame</t>
        </is>
      </c>
    </row>
    <row r="13">
      <c r="A13" s="4" t="inlineStr">
        <is>
          <t>Walls</t>
        </is>
      </c>
      <c r="B13" s="4" t="inlineStr">
        <is>
          <t>AAC to RCC joints</t>
        </is>
      </c>
      <c r="C13" s="4" t="inlineStr">
        <is>
          <t>Galvanised mesh strip 150 mm wide over every block-concrete joint before plaster</t>
        </is>
      </c>
      <c r="D13" s="4" t="inlineStr">
        <is>
          <t>The most common AAC crack; cheap to prevent</t>
        </is>
      </c>
    </row>
    <row r="14">
      <c r="A14" s="4" t="inlineStr">
        <is>
          <t>Walls</t>
        </is>
      </c>
      <c r="B14" s="4" t="inlineStr">
        <is>
          <t>Chasing</t>
        </is>
      </c>
      <c r="C14" s="4" t="inlineStr">
        <is>
          <t>Cut chases with a groover, never hammer; fill with polymer mortar + mesh</t>
        </is>
      </c>
      <c r="D14" s="4" t="inlineStr">
        <is>
          <t>Hammering cracks AAC blocks</t>
        </is>
      </c>
    </row>
    <row r="15">
      <c r="A15" s="4" t="inlineStr">
        <is>
          <t>Walls</t>
        </is>
      </c>
      <c r="B15" s="4" t="inlineStr">
        <is>
          <t>External plaster</t>
        </is>
      </c>
      <c r="C15" s="4" t="inlineStr">
        <is>
          <t>20 mm, two coats, waterproof admixture, cured 7 days; elastomeric paint</t>
        </is>
      </c>
      <c r="D15" s="4" t="inlineStr">
        <is>
          <t>Wind-driven cyclone rain</t>
        </is>
      </c>
    </row>
    <row r="16">
      <c r="A16" s="4" t="inlineStr">
        <is>
          <t>Roof</t>
        </is>
      </c>
      <c r="B16" s="4" t="inlineStr">
        <is>
          <t>Structure</t>
        </is>
      </c>
      <c r="C16" s="4" t="inlineStr">
        <is>
          <t>Steel truss (hot-dip galvanised or epoxy primed), 30 deg pitch, bolted to ring beam with holding-down bolts</t>
        </is>
      </c>
      <c r="D16" s="4" t="inlineStr">
        <is>
          <t>Uplift in cyclone winds</t>
        </is>
      </c>
    </row>
    <row r="17">
      <c r="A17" s="4" t="inlineStr">
        <is>
          <t>Roof</t>
        </is>
      </c>
      <c r="B17" s="4" t="inlineStr">
        <is>
          <t>Deck and insulation</t>
        </is>
      </c>
      <c r="C17" s="4" t="inlineStr">
        <is>
          <t>Cement-fibre board deck + 50 mm PIR/XPS or reflective insulation + membrane, then battens and Mangalore tiles</t>
        </is>
      </c>
      <c r="D17" s="4" t="inlineStr">
        <is>
          <t>Cuts attic heat in 45 C summers</t>
        </is>
      </c>
    </row>
    <row r="18">
      <c r="A18" s="4" t="inlineStr">
        <is>
          <t>Roof</t>
        </is>
      </c>
      <c r="B18" s="4" t="inlineStr">
        <is>
          <t>Tile fixing</t>
        </is>
      </c>
      <c r="C18" s="4" t="inlineStr">
        <is>
          <t>Clip or screw every tile at eaves, verges, ridges and hips, and every 3rd row elsewhere; ridges bedded and pointed</t>
        </is>
      </c>
      <c r="D18" s="4" t="inlineStr">
        <is>
          <t>Loose tiles fly in cyclones</t>
        </is>
      </c>
    </row>
    <row r="19">
      <c r="A19" s="4" t="inlineStr">
        <is>
          <t>Roof</t>
        </is>
      </c>
      <c r="B19" s="4" t="inlineStr">
        <is>
          <t>Ventilation</t>
        </is>
      </c>
      <c r="C19" s="4" t="inlineStr">
        <is>
          <t>Ridge / gable vents with bird and insect mesh; soffit vents at eaves</t>
        </is>
      </c>
      <c r="D19" s="4" t="inlineStr">
        <is>
          <t>Flushes hot air from the attic</t>
        </is>
      </c>
    </row>
    <row r="20">
      <c r="A20" s="4" t="inlineStr">
        <is>
          <t>Roof</t>
        </is>
      </c>
      <c r="B20" s="4" t="inlineStr">
        <is>
          <t>Ridge ventilator</t>
        </is>
      </c>
      <c r="C20" s="4" t="inlineStr">
        <is>
          <t>Steel frame bolted to the truss on the main ridge; hipped tiled cap at 30 deg, 1'-6" overhang; 45 deg timber or aluminium louvres with 4 in lap; SS 304 mesh about 1.2 mm (18 x 16) in a sealed continuous frame; 9 in upstand with flashing (no shutters needed: it vents the roof over the open terrace)</t>
        </is>
      </c>
      <c r="D20" s="4" t="inlineStr">
        <is>
          <t>Lets hot air out, keeps out rain, mosquitoes and attic dust, and closes for AC</t>
        </is>
      </c>
    </row>
    <row r="21">
      <c r="A21" s="4" t="inlineStr">
        <is>
          <t>Roof</t>
        </is>
      </c>
      <c r="B21" s="4" t="inlineStr">
        <is>
          <t>Gutters and downpipes</t>
        </is>
      </c>
      <c r="C21" s="4" t="inlineStr">
        <is>
          <t>150 mm half-round gutters with leaf guard on the main and front roofs, 100 mm downpipes at 6 points, to the sump filter, overflow to the road drain</t>
        </is>
      </c>
      <c r="D21" s="4" t="inlineStr">
        <is>
          <t>Short heavy bursts; protects the plinth</t>
        </is>
      </c>
    </row>
    <row r="22">
      <c r="A22" s="4" t="inlineStr">
        <is>
          <t>Openings</t>
        </is>
      </c>
      <c r="B22" s="4" t="inlineStr">
        <is>
          <t>Windows</t>
        </is>
      </c>
      <c r="C22" s="4" t="inlineStr">
        <is>
          <t>Hardwood or UPVC frames; mosquito mesh on every opening; MS grill for security</t>
        </is>
      </c>
      <c r="D22" s="4" t="inlineStr">
        <is>
          <t>Mosquitoes; ground-floor security</t>
        </is>
      </c>
    </row>
    <row r="23">
      <c r="A23" s="4" t="inlineStr">
        <is>
          <t>Openings</t>
        </is>
      </c>
      <c r="B23" s="4" t="inlineStr">
        <is>
          <t>Sills and sunshades</t>
        </is>
      </c>
      <c r="C23" s="4" t="inlineStr">
        <is>
          <t>External sills sloped 1:10 with drip groove; 2 ft sunshades with drip groove; 18 in projecting drip under the jali wall</t>
        </is>
      </c>
      <c r="D23" s="4" t="inlineStr">
        <is>
          <t>Stops staining and water entry</t>
        </is>
      </c>
    </row>
    <row r="24">
      <c r="A24" s="4" t="inlineStr">
        <is>
          <t>Openings</t>
        </is>
      </c>
      <c r="B24" s="4" t="inlineStr">
        <is>
          <t>Vents above inner doors</t>
        </is>
      </c>
      <c r="C24" s="4" t="inlineStr">
        <is>
          <t>Pooja: open jali; bedrooms and bathrooms: none (the workstation has no door for now). 7'-6" to 9'-0" above the lintel band</t>
        </is>
      </c>
      <c r="D24" s="4" t="inlineStr">
        <is>
          <t>Air moves with doors shut where privacy allows; bedrooms rely on their north windows, fans and AC</t>
        </is>
      </c>
    </row>
    <row r="25">
      <c r="A25" s="4" t="inlineStr">
        <is>
          <t>Openings</t>
        </is>
      </c>
      <c r="B25" s="4" t="inlineStr">
        <is>
          <t>Bathroom doors</t>
        </is>
      </c>
      <c r="C25" s="4" t="inlineStr">
        <is>
          <t>WPC / FRP shutters on WPC or granite frame base; no wooden frame touching the wet floor</t>
        </is>
      </c>
      <c r="D25" s="4" t="inlineStr">
        <is>
          <t>Wood frames rot at the bottom</t>
        </is>
      </c>
    </row>
    <row r="26">
      <c r="A26" s="4" t="inlineStr">
        <is>
          <t>Floors</t>
        </is>
      </c>
      <c r="B26" s="4" t="inlineStr">
        <is>
          <t>General</t>
        </is>
      </c>
      <c r="C26" s="4" t="inlineStr">
        <is>
          <t>4 in skirting flush with the wall plaster (groove in plaster); 3 mm epoxy grout in wet areas</t>
        </is>
      </c>
      <c r="D26" s="4" t="inlineStr">
        <is>
          <t>No dust ledge, no black grout lines</t>
        </is>
      </c>
    </row>
    <row r="27">
      <c r="A27" s="4" t="inlineStr">
        <is>
          <t>Floors</t>
        </is>
      </c>
      <c r="B27" s="4" t="inlineStr">
        <is>
          <t>Wet rooms</t>
        </is>
      </c>
      <c r="C27" s="4" t="inlineStr">
        <is>
          <t>Waterproofing (polymer cementitious) floor + 12 in up walls + 7 ft in shower; flood test 48 h before tiling</t>
        </is>
      </c>
      <c r="D27" s="4" t="inlineStr">
        <is>
          <t>Leak into neighbouring rooms is the top complaint</t>
        </is>
      </c>
    </row>
    <row r="28">
      <c r="A28" s="4" t="inlineStr">
        <is>
          <t>Plumbing</t>
        </is>
      </c>
      <c r="B28" s="4" t="inlineStr">
        <is>
          <t>Supply</t>
        </is>
      </c>
      <c r="C28" s="4" t="inlineStr">
        <is>
          <t>CPVC hot/cold; supply runs along external walls in clamps or shallow chases; isolation valve per bathroom and kitchen</t>
        </is>
      </c>
      <c r="D28" s="4" t="inlineStr">
        <is>
          <t>Easy repair without breaking tiles</t>
        </is>
      </c>
    </row>
    <row r="29">
      <c r="A29" s="4" t="inlineStr">
        <is>
          <t>Plumbing</t>
        </is>
      </c>
      <c r="B29" s="4" t="inlineStr">
        <is>
          <t>Drainage</t>
        </is>
      </c>
      <c r="C29" s="4" t="inlineStr">
        <is>
          <t>uPVC SWR 110 mm soil, 75 mm waste; inspection chamber at every bend and junction; separate soil and grey-water lines</t>
        </is>
      </c>
      <c r="D29" s="4" t="inlineStr">
        <is>
          <t>Easy rodding</t>
        </is>
      </c>
    </row>
    <row r="30">
      <c r="A30" s="4" t="inlineStr">
        <is>
          <t>Plumbing</t>
        </is>
      </c>
      <c r="B30" s="4" t="inlineStr">
        <is>
          <t>Water treatment</t>
        </is>
      </c>
      <c r="C30" s="4" t="inlineStr">
        <is>
          <t>RO for drinking at kitchen; whole-house softener if hardness &gt; 300 mg/l; matt fittings</t>
        </is>
      </c>
      <c r="D30" s="4" t="inlineStr">
        <is>
          <t>Guntur groundwater is often hard with high fluoride</t>
        </is>
      </c>
    </row>
    <row r="31">
      <c r="A31" s="4" t="inlineStr">
        <is>
          <t>Electrical</t>
        </is>
      </c>
      <c r="B31" s="4" t="inlineStr">
        <is>
          <t>Wiring</t>
        </is>
      </c>
      <c r="C31" s="4" t="inlineStr">
        <is>
          <t>FR-LSH copper; 1.5 sq mm lights, 2.5 sq mm sockets, 4 sq mm AC / geyser; separate circuits per AC</t>
        </is>
      </c>
      <c r="D31" s="4" t="inlineStr">
        <is>
          <t>AC loads</t>
        </is>
      </c>
    </row>
    <row r="32">
      <c r="A32" s="4" t="inlineStr">
        <is>
          <t>Electrical</t>
        </is>
      </c>
      <c r="B32" s="4" t="inlineStr">
        <is>
          <t>Protection</t>
        </is>
      </c>
      <c r="C32" s="4" t="inlineStr">
        <is>
          <t>RCCB 30 mA + MCBs; 2 earth pits; surge protection device; DB in an accessible spot</t>
        </is>
      </c>
      <c r="D32" s="4" t="inlineStr">
        <is>
          <t>Shock and lightning safety</t>
        </is>
      </c>
    </row>
    <row r="33">
      <c r="A33" s="4" t="inlineStr">
        <is>
          <t>Electrical</t>
        </is>
      </c>
      <c r="B33" s="4" t="inlineStr">
        <is>
          <t>Backup</t>
        </is>
      </c>
      <c r="C33" s="4" t="inlineStr">
        <is>
          <t>Inverter circuit to lights, fans, study sockets and router; conduit from roof to DB for future solar PV</t>
        </is>
      </c>
      <c r="D33" s="4" t="inlineStr">
        <is>
          <t>Power cuts during work-from-home</t>
        </is>
      </c>
    </row>
    <row r="34">
      <c r="A34" s="4" t="inlineStr">
        <is>
          <t>Electrical</t>
        </is>
      </c>
      <c r="B34" s="4" t="inlineStr">
        <is>
          <t>AC provisions</t>
        </is>
      </c>
      <c r="C34" s="4" t="inlineStr">
        <is>
          <t>16 A socket at 7 ft, 65 mm sleeve through wall, drain pipe to outside, ODU brackets on shaded walls</t>
        </is>
      </c>
      <c r="D34" s="4" t="inlineStr">
        <is>
          <t>Retrofitting later means breaking walls</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36"/>
  <sheetViews>
    <sheetView workbookViewId="0">
      <pane ySplit="1" topLeftCell="A2" activePane="bottomLeft" state="frozen"/>
      <selection pane="bottomLeft" activeCell="A1" sqref="A1"/>
    </sheetView>
  </sheetViews>
  <sheetFormatPr baseColWidth="8" defaultRowHeight="15"/>
  <cols>
    <col width="12" customWidth="1" min="1" max="1"/>
    <col width="46" customWidth="1" min="2" max="2"/>
    <col width="10" customWidth="1" min="3" max="3"/>
    <col width="8" customWidth="1" min="4" max="4"/>
    <col width="46" customWidth="1" min="5" max="5"/>
    <col width="14" customWidth="1" min="6" max="6"/>
    <col width="16" customWidth="1" min="7" max="7"/>
  </cols>
  <sheetData>
    <row r="1" ht="30" customHeight="1">
      <c r="A1" s="3" t="inlineStr">
        <is>
          <t>Group</t>
        </is>
      </c>
      <c r="B1" s="3" t="inlineStr">
        <is>
          <t>Item</t>
        </is>
      </c>
      <c r="C1" s="3" t="inlineStr">
        <is>
          <t>Qty</t>
        </is>
      </c>
      <c r="D1" s="3" t="inlineStr">
        <is>
          <t>Unit</t>
        </is>
      </c>
      <c r="E1" s="3" t="inlineStr">
        <is>
          <t>Basis</t>
        </is>
      </c>
      <c r="F1" s="3" t="inlineStr">
        <is>
          <t>Rate (Rs / unit)</t>
        </is>
      </c>
      <c r="G1" s="3" t="inlineStr">
        <is>
          <t>Amount (Rs)</t>
        </is>
      </c>
    </row>
    <row r="2">
      <c r="A2" s="4" t="inlineStr">
        <is>
          <t>Walls</t>
        </is>
      </c>
      <c r="B2" s="4" t="inlineStr">
        <is>
          <t>AAC blocks, 200 mm outer walls</t>
        </is>
      </c>
      <c r="C2" s="4" t="n">
        <v>27.68</v>
      </c>
      <c r="D2" s="4" t="inlineStr">
        <is>
          <t>cu m</t>
        </is>
      </c>
      <c r="E2" s="4" t="inlineStr">
        <is>
          <t>Both floors, net of openings, floor to beam soffit</t>
        </is>
      </c>
      <c r="F2" s="10" t="n"/>
      <c r="G2" s="11">
        <f>IF(F2="","",C2*F2)</f>
        <v/>
      </c>
    </row>
    <row r="3">
      <c r="A3" s="4" t="inlineStr">
        <is>
          <t>Walls</t>
        </is>
      </c>
      <c r="B3" s="4" t="inlineStr">
        <is>
          <t>AAC blocks, 150 mm wet walls</t>
        </is>
      </c>
      <c r="C3" s="4" t="n">
        <v>4.45</v>
      </c>
      <c r="D3" s="4" t="inlineStr">
        <is>
          <t>cu m</t>
        </is>
      </c>
      <c r="E3" s="4" t="inlineStr">
        <is>
          <t>Both floors, net of openings, floor to beam soffit</t>
        </is>
      </c>
      <c r="F3" s="10" t="n"/>
      <c r="G3" s="11">
        <f>IF(F3="","",C3*F3)</f>
        <v/>
      </c>
    </row>
    <row r="4">
      <c r="A4" s="4" t="inlineStr">
        <is>
          <t>Walls</t>
        </is>
      </c>
      <c r="B4" s="4" t="inlineStr">
        <is>
          <t>AAC blocks, 100 mm inner walls</t>
        </is>
      </c>
      <c r="C4" s="4" t="n">
        <v>7.73</v>
      </c>
      <c r="D4" s="4" t="inlineStr">
        <is>
          <t>cu m</t>
        </is>
      </c>
      <c r="E4" s="4" t="inlineStr">
        <is>
          <t>Both floors, net of openings, floor to beam soffit</t>
        </is>
      </c>
      <c r="F4" s="10" t="n"/>
      <c r="G4" s="11">
        <f>IF(F4="","",C4*F4)</f>
        <v/>
      </c>
    </row>
    <row r="5">
      <c r="A5" s="4" t="inlineStr">
        <is>
          <t>Frame</t>
        </is>
      </c>
      <c r="B5" s="4" t="inlineStr">
        <is>
          <t>Lintel band / ring beam (each, running length, both floors)</t>
        </is>
      </c>
      <c r="C5" s="4" t="n">
        <v>112.3</v>
      </c>
      <c r="D5" s="4" t="inlineStr">
        <is>
          <t>m</t>
        </is>
      </c>
      <c r="E5" s="4" t="inlineStr">
        <is>
          <t>Along all walls; sizes by engineer</t>
        </is>
      </c>
      <c r="F5" s="10" t="n"/>
      <c r="G5" s="11">
        <f>IF(F5="","",C5*F5)</f>
        <v/>
      </c>
    </row>
    <row r="6">
      <c r="A6" s="4" t="inlineStr">
        <is>
          <t>Frame</t>
        </is>
      </c>
      <c r="B6" s="4" t="inlineStr">
        <is>
          <t>First-floor RCC slab (about 5 in)</t>
        </is>
      </c>
      <c r="C6" s="4" t="n">
        <v>69.59999999999999</v>
      </c>
      <c r="D6" s="4" t="inlineStr">
        <is>
          <t>sq m</t>
        </is>
      </c>
      <c r="E6" s="4" t="inlineStr">
        <is>
          <t>Over the back half, less the stair well</t>
        </is>
      </c>
      <c r="F6" s="10" t="n"/>
      <c r="G6" s="11">
        <f>IF(F6="","",C6*F6)</f>
        <v/>
      </c>
    </row>
    <row r="7">
      <c r="A7" s="4" t="inlineStr">
        <is>
          <t>Frame</t>
        </is>
      </c>
      <c r="B7" s="4" t="inlineStr">
        <is>
          <t>RCC dog-leg stair</t>
        </is>
      </c>
      <c r="C7" s="4" t="n">
        <v>17</v>
      </c>
      <c r="D7" s="4" t="inlineStr">
        <is>
          <t>risers</t>
        </is>
      </c>
      <c r="E7" s="4" t="inlineStr">
        <is>
          <t>3'-6" flights, half landing 7'-6" x 5'-8"</t>
        </is>
      </c>
      <c r="F7" s="10" t="n"/>
      <c r="G7" s="11">
        <f>IF(F7="","",C7*F7)</f>
        <v/>
      </c>
    </row>
    <row r="8">
      <c r="A8" s="4" t="inlineStr">
        <is>
          <t>Frame</t>
        </is>
      </c>
      <c r="B8" s="4" t="inlineStr">
        <is>
          <t>Galvanised steel posts for the terrace roof (about 100 mm SHS, 9 ft)</t>
        </is>
      </c>
      <c r="C8" s="4" t="n">
        <v>6</v>
      </c>
      <c r="D8" s="4" t="inlineStr">
        <is>
          <t>no.</t>
        </is>
      </c>
      <c r="E8" s="4" t="inlineStr">
        <is>
          <t>On RCC column stubs; trusses over the terrace in steel</t>
        </is>
      </c>
      <c r="F8" s="10" t="n"/>
      <c r="G8" s="11">
        <f>IF(F8="","",C8*F8)</f>
        <v/>
      </c>
    </row>
    <row r="9">
      <c r="A9" s="4" t="inlineStr">
        <is>
          <t>Frame</t>
        </is>
      </c>
      <c r="B9" s="4" t="inlineStr">
        <is>
          <t>Railings, teak or MS with teak cap, 3'-6" high</t>
        </is>
      </c>
      <c r="C9" s="4" t="n">
        <v>28</v>
      </c>
      <c r="D9" s="4" t="inlineStr">
        <is>
          <t>m</t>
        </is>
      </c>
      <c r="E9" s="4" t="inlineStr">
        <is>
          <t>Lounge open sides and stair well</t>
        </is>
      </c>
      <c r="F9" s="10" t="n"/>
      <c r="G9" s="11">
        <f>IF(F9="","",C9*F9)</f>
        <v/>
      </c>
    </row>
    <row r="10">
      <c r="A10" s="4" t="inlineStr">
        <is>
          <t>Walls</t>
        </is>
      </c>
      <c r="B10" s="4" t="inlineStr">
        <is>
          <t>Internal plaster</t>
        </is>
      </c>
      <c r="C10" s="4" t="n">
        <v>352.6</v>
      </c>
      <c r="D10" s="4" t="inlineStr">
        <is>
          <t>sq m</t>
        </is>
      </c>
      <c r="E10" s="4" t="inlineStr">
        <is>
          <t>Both faces of inner walls, inner face of outer walls</t>
        </is>
      </c>
      <c r="F10" s="10" t="n"/>
      <c r="G10" s="11">
        <f>IF(F10="","",C10*F10)</f>
        <v/>
      </c>
    </row>
    <row r="11">
      <c r="A11" s="4" t="inlineStr">
        <is>
          <t>Walls</t>
        </is>
      </c>
      <c r="B11" s="4" t="inlineStr">
        <is>
          <t>External plaster (waterproof)</t>
        </is>
      </c>
      <c r="C11" s="4" t="n">
        <v>163.6</v>
      </c>
      <c r="D11" s="4" t="inlineStr">
        <is>
          <t>sq m</t>
        </is>
      </c>
      <c r="E11" s="4" t="inlineStr">
        <is>
          <t>Outer walls (both floors) + plinth face; add scaffolding for the 20 ft walls</t>
        </is>
      </c>
      <c r="F11" s="10" t="n"/>
      <c r="G11" s="11">
        <f>IF(F11="","",C11*F11)</f>
        <v/>
      </c>
    </row>
    <row r="12">
      <c r="A12" s="4" t="inlineStr">
        <is>
          <t>Floors</t>
        </is>
      </c>
      <c r="B12" s="4" t="inlineStr">
        <is>
          <t>Matt vitrified 2x2</t>
        </is>
      </c>
      <c r="C12" s="4" t="n">
        <v>37.6</v>
      </c>
      <c r="D12" s="4" t="inlineStr">
        <is>
          <t>sq m</t>
        </is>
      </c>
      <c r="E12" s="4" t="inlineStr">
        <is>
          <t>Clear room areas; add 5-8% wastage</t>
        </is>
      </c>
      <c r="F12" s="10" t="n"/>
      <c r="G12" s="11">
        <f>IF(F12="","",C12*F12)</f>
        <v/>
      </c>
    </row>
    <row r="13">
      <c r="A13" s="4" t="inlineStr">
        <is>
          <t>Floors</t>
        </is>
      </c>
      <c r="B13" s="4" t="inlineStr">
        <is>
          <t>Anti-skid ceramic, waterproofed</t>
        </is>
      </c>
      <c r="C13" s="4" t="n">
        <v>18.8</v>
      </c>
      <c r="D13" s="4" t="inlineStr">
        <is>
          <t>sq m</t>
        </is>
      </c>
      <c r="E13" s="4" t="inlineStr">
        <is>
          <t>Clear room areas; add 5-8% wastage</t>
        </is>
      </c>
      <c r="F13" s="10" t="n"/>
      <c r="G13" s="11">
        <f>IF(F13="","",C13*F13)</f>
        <v/>
      </c>
    </row>
    <row r="14">
      <c r="A14" s="4" t="inlineStr">
        <is>
          <t>Floors</t>
        </is>
      </c>
      <c r="B14" s="4" t="inlineStr">
        <is>
          <t>Red oxide / Kota stone</t>
        </is>
      </c>
      <c r="C14" s="4" t="n">
        <v>41.8</v>
      </c>
      <c r="D14" s="4" t="inlineStr">
        <is>
          <t>sq m</t>
        </is>
      </c>
      <c r="E14" s="4" t="inlineStr">
        <is>
          <t>Clear room areas; add 5-8% wastage</t>
        </is>
      </c>
      <c r="F14" s="10" t="n"/>
      <c r="G14" s="11">
        <f>IF(F14="","",C14*F14)</f>
        <v/>
      </c>
    </row>
    <row r="15">
      <c r="A15" s="4" t="inlineStr">
        <is>
          <t>Floors</t>
        </is>
      </c>
      <c r="B15" s="4" t="inlineStr">
        <is>
          <t>Flamed granite</t>
        </is>
      </c>
      <c r="C15" s="4" t="n">
        <v>6.3</v>
      </c>
      <c r="D15" s="4" t="inlineStr">
        <is>
          <t>sq m</t>
        </is>
      </c>
      <c r="E15" s="4" t="inlineStr">
        <is>
          <t>Clear room areas; add 5-8% wastage</t>
        </is>
      </c>
      <c r="F15" s="10" t="n"/>
      <c r="G15" s="11">
        <f>IF(F15="","",C15*F15)</f>
        <v/>
      </c>
    </row>
    <row r="16">
      <c r="A16" s="4" t="inlineStr">
        <is>
          <t>Floors</t>
        </is>
      </c>
      <c r="B16" s="4" t="inlineStr">
        <is>
          <t>Terracotta anti-skid tile, waterproofed</t>
        </is>
      </c>
      <c r="C16" s="4" t="n">
        <v>42.1</v>
      </c>
      <c r="D16" s="4" t="inlineStr">
        <is>
          <t>sq m</t>
        </is>
      </c>
      <c r="E16" s="4" t="inlineStr">
        <is>
          <t>Clear room areas; add 5-8% wastage</t>
        </is>
      </c>
      <c r="F16" s="10" t="n"/>
      <c r="G16" s="11">
        <f>IF(F16="","",C16*F16)</f>
        <v/>
      </c>
    </row>
    <row r="17">
      <c r="A17" s="4" t="inlineStr">
        <is>
          <t>Floors</t>
        </is>
      </c>
      <c r="B17" s="4" t="inlineStr">
        <is>
          <t>Flush skirting, 4 in</t>
        </is>
      </c>
      <c r="C17" s="4" t="n">
        <v>140.7</v>
      </c>
      <c r="D17" s="4" t="inlineStr">
        <is>
          <t>m</t>
        </is>
      </c>
      <c r="E17" s="4" t="inlineStr">
        <is>
          <t>Room perimeters (dry rooms), doors not deducted</t>
        </is>
      </c>
      <c r="F17" s="10" t="n"/>
      <c r="G17" s="11">
        <f>IF(F17="","",C17*F17)</f>
        <v/>
      </c>
    </row>
    <row r="18">
      <c r="A18" s="4" t="inlineStr">
        <is>
          <t>Wet rooms</t>
        </is>
      </c>
      <c r="B18" s="4" t="inlineStr">
        <is>
          <t>Wall tiles to 7 ft, Master bath</t>
        </is>
      </c>
      <c r="C18" s="4" t="n">
        <v>13</v>
      </c>
      <c r="D18" s="4" t="inlineStr">
        <is>
          <t>sq m</t>
        </is>
      </c>
      <c r="E18" s="4" t="inlineStr">
        <is>
          <t>Full height in the shower adds ~2 sq m</t>
        </is>
      </c>
      <c r="F18" s="10" t="n"/>
      <c r="G18" s="11">
        <f>IF(F18="","",C18*F18)</f>
        <v/>
      </c>
    </row>
    <row r="19">
      <c r="A19" s="4" t="inlineStr">
        <is>
          <t>Wet rooms</t>
        </is>
      </c>
      <c r="B19" s="4" t="inlineStr">
        <is>
          <t>Waterproofing, Master bath</t>
        </is>
      </c>
      <c r="C19" s="4" t="n">
        <v>8.300000000000001</v>
      </c>
      <c r="D19" s="4" t="inlineStr">
        <is>
          <t>sq m</t>
        </is>
      </c>
      <c r="E19" s="4" t="inlineStr">
        <is>
          <t>Floor + 12 in upturn + shower walls to 7 ft</t>
        </is>
      </c>
      <c r="F19" s="10" t="n"/>
      <c r="G19" s="11">
        <f>IF(F19="","",C19*F19)</f>
        <v/>
      </c>
    </row>
    <row r="20">
      <c r="A20" s="4" t="inlineStr">
        <is>
          <t>Wet rooms</t>
        </is>
      </c>
      <c r="B20" s="4" t="inlineStr">
        <is>
          <t>Wall tiles to 7 ft, Common bath</t>
        </is>
      </c>
      <c r="C20" s="4" t="n">
        <v>11.7</v>
      </c>
      <c r="D20" s="4" t="inlineStr">
        <is>
          <t>sq m</t>
        </is>
      </c>
      <c r="E20" s="4" t="inlineStr">
        <is>
          <t>Full height in the shower adds ~2 sq m</t>
        </is>
      </c>
      <c r="F20" s="10" t="n"/>
      <c r="G20" s="11">
        <f>IF(F20="","",C20*F20)</f>
        <v/>
      </c>
    </row>
    <row r="21">
      <c r="A21" s="4" t="inlineStr">
        <is>
          <t>Wet rooms</t>
        </is>
      </c>
      <c r="B21" s="4" t="inlineStr">
        <is>
          <t>Waterproofing, Common bath</t>
        </is>
      </c>
      <c r="C21" s="4" t="n">
        <v>7.6</v>
      </c>
      <c r="D21" s="4" t="inlineStr">
        <is>
          <t>sq m</t>
        </is>
      </c>
      <c r="E21" s="4" t="inlineStr">
        <is>
          <t>Floor + 12 in upturn + shower walls to 7 ft</t>
        </is>
      </c>
      <c r="F21" s="10" t="n"/>
      <c r="G21" s="11">
        <f>IF(F21="","",C21*F21)</f>
        <v/>
      </c>
    </row>
    <row r="22">
      <c r="A22" s="4" t="inlineStr">
        <is>
          <t>Wet rooms</t>
        </is>
      </c>
      <c r="B22" s="4" t="inlineStr">
        <is>
          <t>Wall tiles to 7 ft, Upper master bath</t>
        </is>
      </c>
      <c r="C22" s="4" t="n">
        <v>11.7</v>
      </c>
      <c r="D22" s="4" t="inlineStr">
        <is>
          <t>sq m</t>
        </is>
      </c>
      <c r="E22" s="4" t="inlineStr">
        <is>
          <t>Full height in the shower adds ~2 sq m</t>
        </is>
      </c>
      <c r="F22" s="10" t="n"/>
      <c r="G22" s="11">
        <f>IF(F22="","",C22*F22)</f>
        <v/>
      </c>
    </row>
    <row r="23">
      <c r="A23" s="4" t="inlineStr">
        <is>
          <t>Wet rooms</t>
        </is>
      </c>
      <c r="B23" s="4" t="inlineStr">
        <is>
          <t>Waterproofing, Upper master bath</t>
        </is>
      </c>
      <c r="C23" s="4" t="n">
        <v>7.5</v>
      </c>
      <c r="D23" s="4" t="inlineStr">
        <is>
          <t>sq m</t>
        </is>
      </c>
      <c r="E23" s="4" t="inlineStr">
        <is>
          <t>Floor + 12 in upturn + shower walls to 7 ft</t>
        </is>
      </c>
      <c r="F23" s="10" t="n"/>
      <c r="G23" s="11">
        <f>IF(F23="","",C23*F23)</f>
        <v/>
      </c>
    </row>
    <row r="24">
      <c r="A24" s="4" t="inlineStr">
        <is>
          <t>Wet rooms</t>
        </is>
      </c>
      <c r="B24" s="4" t="inlineStr">
        <is>
          <t>Waterproofing, outdoor lounge slab</t>
        </is>
      </c>
      <c r="C24" s="4" t="n">
        <v>14.1</v>
      </c>
      <c r="D24" s="4" t="inlineStr">
        <is>
          <t>sq m</t>
        </is>
      </c>
      <c r="E24" s="4" t="inlineStr">
        <is>
          <t>Floor + 12 in upturn; flood test 48 h</t>
        </is>
      </c>
      <c r="F24" s="10" t="n"/>
      <c r="G24" s="11">
        <f>IF(F24="","",C24*F24)</f>
        <v/>
      </c>
    </row>
    <row r="25">
      <c r="A25" s="4" t="inlineStr">
        <is>
          <t>Kitchen</t>
        </is>
      </c>
      <c r="B25" s="4" t="inlineStr">
        <is>
          <t>Granite counter, 2 ft deep</t>
        </is>
      </c>
      <c r="C25" s="4" t="n">
        <v>5.4</v>
      </c>
      <c r="D25" s="4" t="inlineStr">
        <is>
          <t>m</t>
        </is>
      </c>
      <c r="E25" s="4" t="inlineStr">
        <is>
          <t>South and east runs (F34, F35)</t>
        </is>
      </c>
      <c r="F25" s="10" t="n"/>
      <c r="G25" s="11">
        <f>IF(F25="","",C25*F25)</f>
        <v/>
      </c>
    </row>
    <row r="26">
      <c r="A26" s="4" t="inlineStr">
        <is>
          <t>Kitchen</t>
        </is>
      </c>
      <c r="B26" s="4" t="inlineStr">
        <is>
          <t>Dado between counter and wall cabinets</t>
        </is>
      </c>
      <c r="C26" s="4" t="n">
        <v>3.3</v>
      </c>
      <c r="D26" s="4" t="inlineStr">
        <is>
          <t>sq m</t>
        </is>
      </c>
      <c r="E26" s="4" t="inlineStr">
        <is>
          <t>2 ft high</t>
        </is>
      </c>
      <c r="F26" s="10" t="n"/>
      <c r="G26" s="11">
        <f>IF(F26="","",C26*F26)</f>
        <v/>
      </c>
    </row>
    <row r="27">
      <c r="A27" s="4" t="inlineStr">
        <is>
          <t>Roof</t>
        </is>
      </c>
      <c r="B27" s="4" t="inlineStr">
        <is>
          <t>Sloped roof area (tiles, deck, insulation, membrane)</t>
        </is>
      </c>
      <c r="C27" s="4" t="n">
        <v>133.9</v>
      </c>
      <c r="D27" s="4" t="inlineStr">
        <is>
          <t>sq m</t>
        </is>
      </c>
      <c r="E27" s="4" t="inlineStr">
        <is>
          <t>Main hip + front gable / cos 30 deg; add ~8% for laps</t>
        </is>
      </c>
      <c r="F27" s="10" t="n"/>
      <c r="G27" s="11">
        <f>IF(F27="","",C27*F27)</f>
        <v/>
      </c>
    </row>
    <row r="28">
      <c r="A28" s="4" t="inlineStr">
        <is>
          <t>Roof</t>
        </is>
      </c>
      <c r="B28" s="4" t="inlineStr">
        <is>
          <t>Gutters</t>
        </is>
      </c>
      <c r="C28" s="4" t="n">
        <v>29.3</v>
      </c>
      <c r="D28" s="4" t="inlineStr">
        <is>
          <t>m</t>
        </is>
      </c>
      <c r="E28" s="4" t="inlineStr">
        <is>
          <t>Both long eaves of the main roof and the front gable</t>
        </is>
      </c>
      <c r="F28" s="10" t="n"/>
      <c r="G28" s="11">
        <f>IF(F28="","",C28*F28)</f>
        <v/>
      </c>
    </row>
    <row r="29">
      <c r="A29" s="4" t="inlineStr">
        <is>
          <t>Roof</t>
        </is>
      </c>
      <c r="B29" s="4" t="inlineStr">
        <is>
          <t>Downpipes, 100 mm</t>
        </is>
      </c>
      <c r="C29" s="4" t="n">
        <v>6</v>
      </c>
      <c r="D29" s="4" t="inlineStr">
        <is>
          <t>no.</t>
        </is>
      </c>
      <c r="E29" s="4" t="inlineStr">
        <is>
          <t>About 22 ft (main roof) or 12 ft (front gable) each</t>
        </is>
      </c>
      <c r="F29" s="10" t="n"/>
      <c r="G29" s="11">
        <f>IF(F29="","",C29*F29)</f>
        <v/>
      </c>
    </row>
    <row r="30">
      <c r="A30" s="4" t="inlineStr">
        <is>
          <t>Roof</t>
        </is>
      </c>
      <c r="B30" s="4" t="inlineStr">
        <is>
          <t>Ridge and hip tiles</t>
        </is>
      </c>
      <c r="C30" s="4" t="n">
        <v>27.3</v>
      </c>
      <c r="D30" s="4" t="inlineStr">
        <is>
          <t>m</t>
        </is>
      </c>
      <c r="E30" s="4" t="inlineStr">
        <is>
          <t>Approximate</t>
        </is>
      </c>
      <c r="F30" s="10" t="n"/>
      <c r="G30" s="11">
        <f>IF(F30="","",C30*F30)</f>
        <v/>
      </c>
    </row>
    <row r="31">
      <c r="A31" s="4" t="inlineStr">
        <is>
          <t>Site</t>
        </is>
      </c>
      <c r="B31" s="4" t="inlineStr">
        <is>
          <t>Compound wall, precast RCC post and panel, 5 ft high</t>
        </is>
      </c>
      <c r="C31" s="4" t="n">
        <v>60</v>
      </c>
      <c r="D31" s="4" t="inlineStr">
        <is>
          <t>m</t>
        </is>
      </c>
      <c r="E31" s="4" t="inlineStr">
        <is>
          <t>Plot perimeter less the gate</t>
        </is>
      </c>
      <c r="F31" s="10" t="n"/>
      <c r="G31" s="11">
        <f>IF(F31="","",C31*F31)</f>
        <v/>
      </c>
    </row>
    <row r="32">
      <c r="A32" s="4" t="inlineStr">
        <is>
          <t>Site</t>
        </is>
      </c>
      <c r="B32" s="4" t="inlineStr">
        <is>
          <t>Plinth protection apron, 3 ft wide</t>
        </is>
      </c>
      <c r="C32" s="4" t="n">
        <v>41</v>
      </c>
      <c r="D32" s="4" t="inlineStr">
        <is>
          <t>sq m</t>
        </is>
      </c>
      <c r="E32" s="4" t="inlineStr">
        <is>
          <t>PCC with slope away</t>
        </is>
      </c>
      <c r="F32" s="10" t="n"/>
      <c r="G32" s="11">
        <f>IF(F32="","",C32*F32)</f>
        <v/>
      </c>
    </row>
    <row r="33">
      <c r="A33" s="4" t="inlineStr">
        <is>
          <t>Openings</t>
        </is>
      </c>
      <c r="B33" s="4" t="inlineStr">
        <is>
          <t>Doors</t>
        </is>
      </c>
      <c r="C33" s="4" t="n">
        <v>16</v>
      </c>
      <c r="D33" s="4" t="inlineStr">
        <is>
          <t>no.</t>
        </is>
      </c>
      <c r="E33" s="4" t="inlineStr">
        <is>
          <t>See Doors tab</t>
        </is>
      </c>
      <c r="F33" s="10" t="n"/>
      <c r="G33" s="11">
        <f>IF(F33="","",C33*F33)</f>
        <v/>
      </c>
    </row>
    <row r="34">
      <c r="A34" s="4" t="inlineStr">
        <is>
          <t>Openings</t>
        </is>
      </c>
      <c r="B34" s="4" t="inlineStr">
        <is>
          <t>Windows and vents</t>
        </is>
      </c>
      <c r="C34" s="4" t="n">
        <v>18</v>
      </c>
      <c r="D34" s="4" t="inlineStr">
        <is>
          <t>no.</t>
        </is>
      </c>
      <c r="E34" s="4" t="inlineStr">
        <is>
          <t>See Windows tab</t>
        </is>
      </c>
      <c r="F34" s="10" t="n"/>
      <c r="G34" s="11">
        <f>IF(F34="","",C34*F34)</f>
        <v/>
      </c>
    </row>
    <row r="35">
      <c r="A35" s="4" t="inlineStr">
        <is>
          <t>Openings</t>
        </is>
      </c>
      <c r="B35" s="4" t="inlineStr">
        <is>
          <t>Window area (for mesh and grills)</t>
        </is>
      </c>
      <c r="C35" s="4" t="n">
        <v>25.7</v>
      </c>
      <c r="D35" s="4" t="inlineStr">
        <is>
          <t>sq m</t>
        </is>
      </c>
      <c r="E35" s="4" t="inlineStr"/>
      <c r="F35" s="10" t="n"/>
      <c r="G35" s="11">
        <f>IF(F35="","",C35*F35)</f>
        <v/>
      </c>
    </row>
    <row r="36">
      <c r="A36" s="6" t="inlineStr"/>
      <c r="B36" s="6" t="inlineStr">
        <is>
          <t>Total of priced items</t>
        </is>
      </c>
      <c r="C36" s="6" t="inlineStr"/>
      <c r="D36" s="6" t="inlineStr"/>
      <c r="E36" s="6" t="inlineStr"/>
      <c r="F36" s="12" t="inlineStr"/>
      <c r="G36" s="12">
        <f>SUM(G2:G35)</f>
        <v/>
      </c>
    </row>
  </sheetData>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G118"/>
  <sheetViews>
    <sheetView workbookViewId="0">
      <pane ySplit="1" topLeftCell="A2" activePane="bottomLeft" state="frozen"/>
      <selection pane="bottomLeft" activeCell="A1" sqref="A1"/>
    </sheetView>
  </sheetViews>
  <sheetFormatPr baseColWidth="8" defaultRowHeight="15"/>
  <cols>
    <col width="7" customWidth="1" min="1" max="1"/>
    <col width="34" customWidth="1" min="2" max="2"/>
    <col width="14" customWidth="1" min="3" max="3"/>
    <col width="22" customWidth="1" min="4" max="4"/>
    <col width="8" customWidth="1" min="5" max="5"/>
    <col width="8" customWidth="1" min="6" max="6"/>
    <col width="40" customWidth="1" min="7" max="7"/>
  </cols>
  <sheetData>
    <row r="1" ht="30" customHeight="1">
      <c r="A1" s="3" t="inlineStr">
        <is>
          <t>Code</t>
        </is>
      </c>
      <c r="B1" s="3" t="inlineStr">
        <is>
          <t>Item</t>
        </is>
      </c>
      <c r="C1" s="3" t="inlineStr">
        <is>
          <t>Mounting height</t>
        </is>
      </c>
      <c r="D1" s="3" t="inlineStr">
        <is>
          <t>Room</t>
        </is>
      </c>
      <c r="E1" s="3" t="inlineStr">
        <is>
          <t>X (ft)</t>
        </is>
      </c>
      <c r="F1" s="3" t="inlineStr">
        <is>
          <t>Y (ft)</t>
        </is>
      </c>
      <c r="G1" s="3" t="inlineStr">
        <is>
          <t>Note</t>
        </is>
      </c>
    </row>
    <row r="2">
      <c r="A2" s="4" t="inlineStr">
        <is>
          <t>F</t>
        </is>
      </c>
      <c r="B2" s="4" t="inlineStr">
        <is>
          <t>Ceiling fan point</t>
        </is>
      </c>
      <c r="C2" s="4" t="inlineStr">
        <is>
          <t>ceiling</t>
        </is>
      </c>
      <c r="D2" s="4" t="inlineStr">
        <is>
          <t>Master bedroom</t>
        </is>
      </c>
      <c r="E2" s="4" t="n">
        <v>29.5</v>
      </c>
      <c r="F2" s="4" t="n">
        <v>11</v>
      </c>
      <c r="G2" s="4" t="inlineStr">
        <is>
          <t>clear of the bed head</t>
        </is>
      </c>
    </row>
    <row r="3">
      <c r="A3" s="4" t="inlineStr">
        <is>
          <t>L</t>
        </is>
      </c>
      <c r="B3" s="4" t="inlineStr">
        <is>
          <t>Ceiling light</t>
        </is>
      </c>
      <c r="C3" s="4" t="inlineStr">
        <is>
          <t>ceiling</t>
        </is>
      </c>
      <c r="D3" s="4" t="inlineStr">
        <is>
          <t>Master bedroom</t>
        </is>
      </c>
      <c r="E3" s="4" t="n">
        <v>25.5</v>
      </c>
      <c r="F3" s="4" t="n">
        <v>12</v>
      </c>
      <c r="G3" s="4" t="inlineStr"/>
    </row>
    <row r="4">
      <c r="A4" s="4" t="inlineStr">
        <is>
          <t>L</t>
        </is>
      </c>
      <c r="B4" s="4" t="inlineStr">
        <is>
          <t>Ceiling light</t>
        </is>
      </c>
      <c r="C4" s="4" t="inlineStr">
        <is>
          <t>ceiling</t>
        </is>
      </c>
      <c r="D4" s="4" t="inlineStr">
        <is>
          <t>Master bedroom</t>
        </is>
      </c>
      <c r="E4" s="4" t="n">
        <v>32.5</v>
      </c>
      <c r="F4" s="4" t="n">
        <v>7</v>
      </c>
      <c r="G4" s="4" t="inlineStr"/>
    </row>
    <row r="5">
      <c r="A5" s="4" t="inlineStr">
        <is>
          <t>S</t>
        </is>
      </c>
      <c r="B5" s="4" t="inlineStr">
        <is>
          <t>Switchboard</t>
        </is>
      </c>
      <c r="C5" s="4" t="inlineStr">
        <is>
          <t>4'-0"</t>
        </is>
      </c>
      <c r="D5" s="4" t="inlineStr">
        <is>
          <t>Master bedroom</t>
        </is>
      </c>
      <c r="E5" s="4" t="n">
        <v>34.6</v>
      </c>
      <c r="F5" s="4" t="n">
        <v>13.9</v>
      </c>
      <c r="G5" s="4" t="inlineStr">
        <is>
          <t>at the door, latch side, 2-way</t>
        </is>
      </c>
    </row>
    <row r="6">
      <c r="A6" s="4" t="inlineStr">
        <is>
          <t>S</t>
        </is>
      </c>
      <c r="B6" s="4" t="inlineStr">
        <is>
          <t>Switchboard</t>
        </is>
      </c>
      <c r="C6" s="4" t="inlineStr">
        <is>
          <t>4'-0"</t>
        </is>
      </c>
      <c r="D6" s="4" t="inlineStr">
        <is>
          <t>Master bedroom</t>
        </is>
      </c>
      <c r="E6" s="4" t="n">
        <v>32.6</v>
      </c>
      <c r="F6" s="4" t="n">
        <v>3.4</v>
      </c>
      <c r="G6" s="4" t="inlineStr">
        <is>
          <t>bedside, 2-way</t>
        </is>
      </c>
    </row>
    <row r="7">
      <c r="A7" s="4" t="inlineStr">
        <is>
          <t>P</t>
        </is>
      </c>
      <c r="B7" s="4" t="inlineStr">
        <is>
          <t>6 A socket</t>
        </is>
      </c>
      <c r="C7" s="4" t="inlineStr">
        <is>
          <t>1'-0"</t>
        </is>
      </c>
      <c r="D7" s="4" t="inlineStr">
        <is>
          <t>Master bedroom</t>
        </is>
      </c>
      <c r="E7" s="4" t="n">
        <v>26.5</v>
      </c>
      <c r="F7" s="4" t="n">
        <v>3.4</v>
      </c>
      <c r="G7" s="4" t="inlineStr">
        <is>
          <t>bedside</t>
        </is>
      </c>
    </row>
    <row r="8">
      <c r="A8" s="4" t="inlineStr">
        <is>
          <t>P</t>
        </is>
      </c>
      <c r="B8" s="4" t="inlineStr">
        <is>
          <t>6 A socket</t>
        </is>
      </c>
      <c r="C8" s="4" t="inlineStr">
        <is>
          <t>1'-0"</t>
        </is>
      </c>
      <c r="D8" s="4" t="inlineStr">
        <is>
          <t>Master bedroom</t>
        </is>
      </c>
      <c r="E8" s="4" t="n">
        <v>32.6</v>
      </c>
      <c r="F8" s="4" t="n">
        <v>3.8</v>
      </c>
      <c r="G8" s="4" t="inlineStr">
        <is>
          <t>bedside</t>
        </is>
      </c>
    </row>
    <row r="9">
      <c r="A9" s="4" t="inlineStr">
        <is>
          <t>P</t>
        </is>
      </c>
      <c r="B9" s="4" t="inlineStr">
        <is>
          <t>6 A socket</t>
        </is>
      </c>
      <c r="C9" s="4" t="inlineStr">
        <is>
          <t>1'-0"</t>
        </is>
      </c>
      <c r="D9" s="4" t="inlineStr">
        <is>
          <t>Master bedroom</t>
        </is>
      </c>
      <c r="E9" s="4" t="n">
        <v>30.6</v>
      </c>
      <c r="F9" s="4" t="n">
        <v>15.1</v>
      </c>
      <c r="G9" s="4" t="inlineStr">
        <is>
          <t>dresser</t>
        </is>
      </c>
    </row>
    <row r="10">
      <c r="A10" s="4" t="inlineStr">
        <is>
          <t>AC</t>
        </is>
      </c>
      <c r="B10" s="4" t="inlineStr">
        <is>
          <t>AC indoor unit (16 A socket, sleeve, drain)</t>
        </is>
      </c>
      <c r="C10" s="4" t="inlineStr">
        <is>
          <t>7'-6"</t>
        </is>
      </c>
      <c r="D10" s="4" t="inlineStr">
        <is>
          <t>Master bedroom</t>
        </is>
      </c>
      <c r="E10" s="4" t="n">
        <v>23.4</v>
      </c>
      <c r="F10" s="4" t="n">
        <v>12.8</v>
      </c>
      <c r="G10" s="4" t="inlineStr">
        <is>
          <t>west wall, throws east along the bed, not on the head</t>
        </is>
      </c>
    </row>
    <row r="11">
      <c r="A11" s="4" t="inlineStr">
        <is>
          <t>ODU</t>
        </is>
      </c>
      <c r="B11" s="4" t="inlineStr">
        <is>
          <t>AC outdoor unit bracket</t>
        </is>
      </c>
      <c r="C11" s="4" t="inlineStr">
        <is>
          <t>7'-0" outside</t>
        </is>
      </c>
      <c r="D11" s="4" t="inlineStr">
        <is>
          <t>Master bedroom</t>
        </is>
      </c>
      <c r="E11" s="4" t="n">
        <v>22.6</v>
      </c>
      <c r="F11" s="4" t="n">
        <v>13.5</v>
      </c>
      <c r="G11" s="4" t="inlineStr">
        <is>
          <t>west wall, under the eave and pergola</t>
        </is>
      </c>
    </row>
    <row r="12">
      <c r="A12" s="4" t="inlineStr">
        <is>
          <t>L</t>
        </is>
      </c>
      <c r="B12" s="4" t="inlineStr">
        <is>
          <t>Ceiling light</t>
        </is>
      </c>
      <c r="C12" s="4" t="inlineStr">
        <is>
          <t>ceiling</t>
        </is>
      </c>
      <c r="D12" s="4" t="inlineStr">
        <is>
          <t>Master bath</t>
        </is>
      </c>
      <c r="E12" s="4" t="n">
        <v>37.7</v>
      </c>
      <c r="F12" s="4" t="n">
        <v>6.5</v>
      </c>
      <c r="G12" s="4" t="inlineStr"/>
    </row>
    <row r="13">
      <c r="A13" s="4" t="inlineStr">
        <is>
          <t>EF</t>
        </is>
      </c>
      <c r="B13" s="4" t="inlineStr">
        <is>
          <t>Exhaust fan</t>
        </is>
      </c>
      <c r="C13" s="4" t="inlineStr">
        <is>
          <t>7'-0"</t>
        </is>
      </c>
      <c r="D13" s="4" t="inlineStr">
        <is>
          <t>Master bath</t>
        </is>
      </c>
      <c r="E13" s="4" t="n">
        <v>39.8</v>
      </c>
      <c r="F13" s="4" t="n">
        <v>3.4</v>
      </c>
      <c r="G13" s="4" t="inlineStr">
        <is>
          <t>out through the south wall</t>
        </is>
      </c>
    </row>
    <row r="14">
      <c r="A14" s="4" t="inlineStr">
        <is>
          <t>G</t>
        </is>
      </c>
      <c r="B14" s="4" t="inlineStr">
        <is>
          <t>Geyser (16 A)</t>
        </is>
      </c>
      <c r="C14" s="4" t="inlineStr">
        <is>
          <t>6'-6"</t>
        </is>
      </c>
      <c r="D14" s="4" t="inlineStr">
        <is>
          <t>Master bath</t>
        </is>
      </c>
      <c r="E14" s="4" t="n">
        <v>35.4</v>
      </c>
      <c r="F14" s="4" t="n">
        <v>5.5</v>
      </c>
      <c r="G14" s="4" t="inlineStr">
        <is>
          <t>over shower, west wall</t>
        </is>
      </c>
    </row>
    <row r="15">
      <c r="A15" s="4" t="inlineStr">
        <is>
          <t>PC</t>
        </is>
      </c>
      <c r="B15" s="4" t="inlineStr">
        <is>
          <t>6 A socket at counter</t>
        </is>
      </c>
      <c r="C15" s="4" t="inlineStr">
        <is>
          <t>3'-6"</t>
        </is>
      </c>
      <c r="D15" s="4" t="inlineStr">
        <is>
          <t>Master bath</t>
        </is>
      </c>
      <c r="E15" s="4" t="n">
        <v>38.2</v>
      </c>
      <c r="F15" s="4" t="n">
        <v>9.6</v>
      </c>
      <c r="G15" s="4" t="inlineStr">
        <is>
          <t>by basin</t>
        </is>
      </c>
    </row>
    <row r="16">
      <c r="A16" s="4" t="inlineStr">
        <is>
          <t>S</t>
        </is>
      </c>
      <c r="B16" s="4" t="inlineStr">
        <is>
          <t>Switchboard</t>
        </is>
      </c>
      <c r="C16" s="4" t="inlineStr">
        <is>
          <t>4'-0"</t>
        </is>
      </c>
      <c r="D16" s="4" t="inlineStr">
        <is>
          <t>Master bedroom</t>
        </is>
      </c>
      <c r="E16" s="4" t="n">
        <v>34.6</v>
      </c>
      <c r="F16" s="4" t="n">
        <v>9.800000000000001</v>
      </c>
      <c r="G16" s="4" t="inlineStr">
        <is>
          <t>bath switches outside the door</t>
        </is>
      </c>
    </row>
    <row r="17">
      <c r="A17" s="4" t="inlineStr">
        <is>
          <t>L</t>
        </is>
      </c>
      <c r="B17" s="4" t="inlineStr">
        <is>
          <t>Ceiling light</t>
        </is>
      </c>
      <c r="C17" s="4" t="inlineStr">
        <is>
          <t>ceiling</t>
        </is>
      </c>
      <c r="D17" s="4" t="inlineStr">
        <is>
          <t>Common bath</t>
        </is>
      </c>
      <c r="E17" s="4" t="n">
        <v>42.7</v>
      </c>
      <c r="F17" s="4" t="n">
        <v>7.2</v>
      </c>
      <c r="G17" s="4" t="inlineStr"/>
    </row>
    <row r="18">
      <c r="A18" s="4" t="inlineStr">
        <is>
          <t>EF</t>
        </is>
      </c>
      <c r="B18" s="4" t="inlineStr">
        <is>
          <t>Exhaust fan</t>
        </is>
      </c>
      <c r="C18" s="4" t="inlineStr">
        <is>
          <t>7'-0"</t>
        </is>
      </c>
      <c r="D18" s="4" t="inlineStr">
        <is>
          <t>Common bath</t>
        </is>
      </c>
      <c r="E18" s="4" t="n">
        <v>44.6</v>
      </c>
      <c r="F18" s="4" t="n">
        <v>3.4</v>
      </c>
      <c r="G18" s="4" t="inlineStr">
        <is>
          <t>out through the south wall</t>
        </is>
      </c>
    </row>
    <row r="19">
      <c r="A19" s="4" t="inlineStr">
        <is>
          <t>G</t>
        </is>
      </c>
      <c r="B19" s="4" t="inlineStr">
        <is>
          <t>Geyser (16 A)</t>
        </is>
      </c>
      <c r="C19" s="4" t="inlineStr">
        <is>
          <t>6'-6"</t>
        </is>
      </c>
      <c r="D19" s="4" t="inlineStr">
        <is>
          <t>Common bath</t>
        </is>
      </c>
      <c r="E19" s="4" t="n">
        <v>44.6</v>
      </c>
      <c r="F19" s="4" t="n">
        <v>4.6</v>
      </c>
      <c r="G19" s="4" t="inlineStr">
        <is>
          <t>over shower, east wall</t>
        </is>
      </c>
    </row>
    <row r="20">
      <c r="A20" s="4" t="inlineStr">
        <is>
          <t>PC</t>
        </is>
      </c>
      <c r="B20" s="4" t="inlineStr">
        <is>
          <t>6 A socket at counter</t>
        </is>
      </c>
      <c r="C20" s="4" t="inlineStr">
        <is>
          <t>3'-6"</t>
        </is>
      </c>
      <c r="D20" s="4" t="inlineStr">
        <is>
          <t>Common bath</t>
        </is>
      </c>
      <c r="E20" s="4" t="n">
        <v>44.6</v>
      </c>
      <c r="F20" s="4" t="n">
        <v>7</v>
      </c>
      <c r="G20" s="4" t="inlineStr">
        <is>
          <t>by basin</t>
        </is>
      </c>
    </row>
    <row r="21">
      <c r="A21" s="4" t="inlineStr">
        <is>
          <t>S</t>
        </is>
      </c>
      <c r="B21" s="4" t="inlineStr">
        <is>
          <t>Switchboard</t>
        </is>
      </c>
      <c r="C21" s="4" t="inlineStr">
        <is>
          <t>4'-0"</t>
        </is>
      </c>
      <c r="D21" s="4" t="inlineStr">
        <is>
          <t>Lobby</t>
        </is>
      </c>
      <c r="E21" s="4" t="n">
        <v>44.3</v>
      </c>
      <c r="F21" s="4" t="n">
        <v>10.4</v>
      </c>
      <c r="G21" s="4" t="inlineStr">
        <is>
          <t>common bath switches outside the door</t>
        </is>
      </c>
    </row>
    <row r="22">
      <c r="A22" s="4" t="inlineStr">
        <is>
          <t>F</t>
        </is>
      </c>
      <c r="B22" s="4" t="inlineStr">
        <is>
          <t>Ceiling fan point</t>
        </is>
      </c>
      <c r="C22" s="4" t="inlineStr">
        <is>
          <t>ceiling</t>
        </is>
      </c>
      <c r="D22" s="4" t="inlineStr">
        <is>
          <t>Small bedroom</t>
        </is>
      </c>
      <c r="E22" s="4" t="n">
        <v>31</v>
      </c>
      <c r="F22" s="4" t="n">
        <v>20</v>
      </c>
      <c r="G22" s="4" t="inlineStr"/>
    </row>
    <row r="23">
      <c r="A23" s="4" t="inlineStr">
        <is>
          <t>L</t>
        </is>
      </c>
      <c r="B23" s="4" t="inlineStr">
        <is>
          <t>Ceiling light</t>
        </is>
      </c>
      <c r="C23" s="4" t="inlineStr">
        <is>
          <t>ceiling</t>
        </is>
      </c>
      <c r="D23" s="4" t="inlineStr">
        <is>
          <t>Small bedroom</t>
        </is>
      </c>
      <c r="E23" s="4" t="n">
        <v>26</v>
      </c>
      <c r="F23" s="4" t="n">
        <v>19</v>
      </c>
      <c r="G23" s="4" t="inlineStr"/>
    </row>
    <row r="24">
      <c r="A24" s="4" t="inlineStr">
        <is>
          <t>L</t>
        </is>
      </c>
      <c r="B24" s="4" t="inlineStr">
        <is>
          <t>Ceiling light</t>
        </is>
      </c>
      <c r="C24" s="4" t="inlineStr">
        <is>
          <t>ceiling</t>
        </is>
      </c>
      <c r="D24" s="4" t="inlineStr">
        <is>
          <t>Small bedroom</t>
        </is>
      </c>
      <c r="E24" s="4" t="n">
        <v>31.5</v>
      </c>
      <c r="F24" s="4" t="n">
        <v>23.8</v>
      </c>
      <c r="G24" s="4" t="inlineStr"/>
    </row>
    <row r="25">
      <c r="A25" s="4" t="inlineStr">
        <is>
          <t>S</t>
        </is>
      </c>
      <c r="B25" s="4" t="inlineStr">
        <is>
          <t>Switchboard</t>
        </is>
      </c>
      <c r="C25" s="4" t="inlineStr">
        <is>
          <t>4'-0"</t>
        </is>
      </c>
      <c r="D25" s="4" t="inlineStr">
        <is>
          <t>Small bedroom</t>
        </is>
      </c>
      <c r="E25" s="4" t="n">
        <v>34.6</v>
      </c>
      <c r="F25" s="4" t="n">
        <v>19</v>
      </c>
      <c r="G25" s="4" t="inlineStr">
        <is>
          <t>at the door, latch side</t>
        </is>
      </c>
    </row>
    <row r="26">
      <c r="A26" s="4" t="inlineStr">
        <is>
          <t>P</t>
        </is>
      </c>
      <c r="B26" s="4" t="inlineStr">
        <is>
          <t>6 A socket</t>
        </is>
      </c>
      <c r="C26" s="4" t="inlineStr">
        <is>
          <t>1'-0"</t>
        </is>
      </c>
      <c r="D26" s="4" t="inlineStr">
        <is>
          <t>Small bedroom</t>
        </is>
      </c>
      <c r="E26" s="4" t="n">
        <v>34.6</v>
      </c>
      <c r="F26" s="4" t="n">
        <v>20.1</v>
      </c>
      <c r="G26" s="4" t="inlineStr">
        <is>
          <t>bedside</t>
        </is>
      </c>
    </row>
    <row r="27">
      <c r="A27" s="4" t="inlineStr">
        <is>
          <t>P</t>
        </is>
      </c>
      <c r="B27" s="4" t="inlineStr">
        <is>
          <t>6 A socket</t>
        </is>
      </c>
      <c r="C27" s="4" t="inlineStr">
        <is>
          <t>1'-0"</t>
        </is>
      </c>
      <c r="D27" s="4" t="inlineStr">
        <is>
          <t>Small bedroom</t>
        </is>
      </c>
      <c r="E27" s="4" t="n">
        <v>27</v>
      </c>
      <c r="F27" s="4" t="n">
        <v>15.9</v>
      </c>
      <c r="G27" s="4" t="inlineStr">
        <is>
          <t>study table</t>
        </is>
      </c>
    </row>
    <row r="28">
      <c r="A28" s="4" t="inlineStr">
        <is>
          <t>U</t>
        </is>
      </c>
      <c r="B28" s="4" t="inlineStr">
        <is>
          <t>Inverter (UPS) socket</t>
        </is>
      </c>
      <c r="C28" s="4" t="inlineStr">
        <is>
          <t>1'-0"</t>
        </is>
      </c>
      <c r="D28" s="4" t="inlineStr">
        <is>
          <t>Small bedroom</t>
        </is>
      </c>
      <c r="E28" s="4" t="n">
        <v>28.5</v>
      </c>
      <c r="F28" s="4" t="n">
        <v>15.9</v>
      </c>
      <c r="G28" s="4" t="inlineStr">
        <is>
          <t>study table</t>
        </is>
      </c>
    </row>
    <row r="29">
      <c r="A29" s="4" t="inlineStr">
        <is>
          <t>D</t>
        </is>
      </c>
      <c r="B29" s="4" t="inlineStr">
        <is>
          <t>Data point (Cat6)</t>
        </is>
      </c>
      <c r="C29" s="4" t="inlineStr">
        <is>
          <t>1'-0"</t>
        </is>
      </c>
      <c r="D29" s="4" t="inlineStr">
        <is>
          <t>Small bedroom</t>
        </is>
      </c>
      <c r="E29" s="4" t="n">
        <v>29.4</v>
      </c>
      <c r="F29" s="4" t="n">
        <v>15.9</v>
      </c>
      <c r="G29" s="4" t="inlineStr">
        <is>
          <t>study table</t>
        </is>
      </c>
    </row>
    <row r="30">
      <c r="A30" s="4" t="inlineStr">
        <is>
          <t>AC</t>
        </is>
      </c>
      <c r="B30" s="4" t="inlineStr">
        <is>
          <t>AC indoor unit (16 A socket, sleeve, drain)</t>
        </is>
      </c>
      <c r="C30" s="4" t="inlineStr">
        <is>
          <t>7'-6"</t>
        </is>
      </c>
      <c r="D30" s="4" t="inlineStr">
        <is>
          <t>Small bedroom</t>
        </is>
      </c>
      <c r="E30" s="4" t="n">
        <v>23.4</v>
      </c>
      <c r="F30" s="4" t="n">
        <v>23</v>
      </c>
      <c r="G30" s="4" t="inlineStr">
        <is>
          <t>west wall, throws east toward the bed foot</t>
        </is>
      </c>
    </row>
    <row r="31">
      <c r="A31" s="4" t="inlineStr">
        <is>
          <t>ODU</t>
        </is>
      </c>
      <c r="B31" s="4" t="inlineStr">
        <is>
          <t>AC outdoor unit bracket</t>
        </is>
      </c>
      <c r="C31" s="4" t="inlineStr">
        <is>
          <t>7'-0" outside</t>
        </is>
      </c>
      <c r="D31" s="4" t="inlineStr">
        <is>
          <t>Small bedroom</t>
        </is>
      </c>
      <c r="E31" s="4" t="n">
        <v>22.6</v>
      </c>
      <c r="F31" s="4" t="n">
        <v>22.5</v>
      </c>
      <c r="G31" s="4" t="inlineStr">
        <is>
          <t>west wall, under the eave</t>
        </is>
      </c>
    </row>
    <row r="32">
      <c r="A32" s="4" t="inlineStr">
        <is>
          <t>L</t>
        </is>
      </c>
      <c r="B32" s="4" t="inlineStr">
        <is>
          <t>Ceiling light</t>
        </is>
      </c>
      <c r="C32" s="4" t="inlineStr">
        <is>
          <t>ceiling</t>
        </is>
      </c>
      <c r="D32" s="4" t="inlineStr">
        <is>
          <t>Lobby</t>
        </is>
      </c>
      <c r="E32" s="4" t="n">
        <v>40</v>
      </c>
      <c r="F32" s="4" t="n">
        <v>11.8</v>
      </c>
      <c r="G32" s="4" t="inlineStr"/>
    </row>
    <row r="33">
      <c r="A33" s="4" t="inlineStr">
        <is>
          <t>S</t>
        </is>
      </c>
      <c r="B33" s="4" t="inlineStr">
        <is>
          <t>Switchboard</t>
        </is>
      </c>
      <c r="C33" s="4" t="inlineStr">
        <is>
          <t>4'-0"</t>
        </is>
      </c>
      <c r="D33" s="4" t="inlineStr">
        <is>
          <t>Lobby</t>
        </is>
      </c>
      <c r="E33" s="4" t="n">
        <v>44.6</v>
      </c>
      <c r="F33" s="4" t="n">
        <v>13.6</v>
      </c>
      <c r="G33" s="4" t="inlineStr">
        <is>
          <t>lobby and stair, 2-way with the landing</t>
        </is>
      </c>
    </row>
    <row r="34">
      <c r="A34" s="4" t="inlineStr">
        <is>
          <t>DB</t>
        </is>
      </c>
      <c r="B34" s="4" t="inlineStr">
        <is>
          <t>Distribution board</t>
        </is>
      </c>
      <c r="C34" s="4" t="inlineStr">
        <is>
          <t>5'-0" to top</t>
        </is>
      </c>
      <c r="D34" s="4" t="inlineStr">
        <is>
          <t>Lobby</t>
        </is>
      </c>
      <c r="E34" s="4" t="n">
        <v>39</v>
      </c>
      <c r="F34" s="4" t="n">
        <v>13.7</v>
      </c>
      <c r="G34" s="4" t="inlineStr">
        <is>
          <t>in the under-stair cupboard, lobby side (central, dry)</t>
        </is>
      </c>
    </row>
    <row r="35">
      <c r="A35" s="4" t="inlineStr">
        <is>
          <t>U</t>
        </is>
      </c>
      <c r="B35" s="4" t="inlineStr">
        <is>
          <t>Inverter (UPS) socket</t>
        </is>
      </c>
      <c r="C35" s="4" t="inlineStr">
        <is>
          <t>1'-0"</t>
        </is>
      </c>
      <c r="D35" s="4" t="inlineStr">
        <is>
          <t>Lobby</t>
        </is>
      </c>
      <c r="E35" s="4" t="n">
        <v>38</v>
      </c>
      <c r="F35" s="4" t="n">
        <v>13.7</v>
      </c>
      <c r="G35" s="4" t="inlineStr">
        <is>
          <t>router (central)</t>
        </is>
      </c>
    </row>
    <row r="36">
      <c r="A36" s="4" t="inlineStr">
        <is>
          <t>INV</t>
        </is>
      </c>
      <c r="B36" s="4" t="inlineStr">
        <is>
          <t>Inverter + battery</t>
        </is>
      </c>
      <c r="C36" s="4" t="inlineStr">
        <is>
          <t>floor</t>
        </is>
      </c>
      <c r="D36" s="4" t="inlineStr">
        <is>
          <t>Stair and passage</t>
        </is>
      </c>
      <c r="E36" s="4" t="n">
        <v>40.4</v>
      </c>
      <c r="F36" s="4" t="n">
        <v>14.4</v>
      </c>
      <c r="G36" s="4" t="inlineStr">
        <is>
          <t>lithium inverter in the ventilated under-stair cupboard</t>
        </is>
      </c>
    </row>
    <row r="37">
      <c r="A37" s="4" t="inlineStr">
        <is>
          <t>WL</t>
        </is>
      </c>
      <c r="B37" s="4" t="inlineStr">
        <is>
          <t>Wall light / mirror light</t>
        </is>
      </c>
      <c r="C37" s="4" t="inlineStr">
        <is>
          <t>6'-6"</t>
        </is>
      </c>
      <c r="D37" s="4" t="inlineStr">
        <is>
          <t>Stair and passage</t>
        </is>
      </c>
      <c r="E37" s="4" t="n">
        <v>41.2</v>
      </c>
      <c r="F37" s="4" t="n">
        <v>24.6</v>
      </c>
      <c r="G37" s="4" t="inlineStr">
        <is>
          <t>at the half landing</t>
        </is>
      </c>
    </row>
    <row r="38">
      <c r="A38" s="4" t="inlineStr">
        <is>
          <t>L</t>
        </is>
      </c>
      <c r="B38" s="4" t="inlineStr">
        <is>
          <t>Ceiling light</t>
        </is>
      </c>
      <c r="C38" s="4" t="inlineStr">
        <is>
          <t>ceiling</t>
        </is>
      </c>
      <c r="D38" s="4" t="inlineStr">
        <is>
          <t>Stair and passage</t>
        </is>
      </c>
      <c r="E38" s="4" t="n">
        <v>36.25</v>
      </c>
      <c r="F38" s="4" t="n">
        <v>15.5</v>
      </c>
      <c r="G38" s="4" t="inlineStr">
        <is>
          <t>passage</t>
        </is>
      </c>
    </row>
    <row r="39">
      <c r="A39" s="4" t="inlineStr">
        <is>
          <t>L</t>
        </is>
      </c>
      <c r="B39" s="4" t="inlineStr">
        <is>
          <t>Ceiling light</t>
        </is>
      </c>
      <c r="C39" s="4" t="inlineStr">
        <is>
          <t>ceiling</t>
        </is>
      </c>
      <c r="D39" s="4" t="inlineStr">
        <is>
          <t>Store</t>
        </is>
      </c>
      <c r="E39" s="4" t="n">
        <v>47</v>
      </c>
      <c r="F39" s="4" t="n">
        <v>5.8</v>
      </c>
      <c r="G39" s="4" t="inlineStr"/>
    </row>
    <row r="40">
      <c r="A40" s="4" t="inlineStr">
        <is>
          <t>S</t>
        </is>
      </c>
      <c r="B40" s="4" t="inlineStr">
        <is>
          <t>Switchboard</t>
        </is>
      </c>
      <c r="C40" s="4" t="inlineStr">
        <is>
          <t>4'-0"</t>
        </is>
      </c>
      <c r="D40" s="4" t="inlineStr">
        <is>
          <t>Dining</t>
        </is>
      </c>
      <c r="E40" s="4" t="n">
        <v>48.6</v>
      </c>
      <c r="F40" s="4" t="n">
        <v>7.9</v>
      </c>
      <c r="G40" s="4" t="inlineStr">
        <is>
          <t>store light, outside the door</t>
        </is>
      </c>
    </row>
    <row r="41">
      <c r="A41" s="4" t="inlineStr">
        <is>
          <t>L</t>
        </is>
      </c>
      <c r="B41" s="4" t="inlineStr">
        <is>
          <t>Ceiling light</t>
        </is>
      </c>
      <c r="C41" s="4" t="inlineStr">
        <is>
          <t>ceiling</t>
        </is>
      </c>
      <c r="D41" s="4" t="inlineStr">
        <is>
          <t>Wet area</t>
        </is>
      </c>
      <c r="E41" s="4" t="n">
        <v>52</v>
      </c>
      <c r="F41" s="4" t="n">
        <v>5</v>
      </c>
      <c r="G41" s="4" t="inlineStr"/>
    </row>
    <row r="42">
      <c r="A42" s="4" t="inlineStr">
        <is>
          <t>P16</t>
        </is>
      </c>
      <c r="B42" s="4" t="inlineStr">
        <is>
          <t>16 A power socket</t>
        </is>
      </c>
      <c r="C42" s="4" t="inlineStr">
        <is>
          <t>varies</t>
        </is>
      </c>
      <c r="D42" s="4" t="inlineStr">
        <is>
          <t>Wet area</t>
        </is>
      </c>
      <c r="E42" s="4" t="n">
        <v>49.3</v>
      </c>
      <c r="F42" s="4" t="n">
        <v>7.2</v>
      </c>
      <c r="G42" s="4" t="inlineStr">
        <is>
          <t>washing machine</t>
        </is>
      </c>
    </row>
    <row r="43">
      <c r="A43" s="4" t="inlineStr">
        <is>
          <t>P</t>
        </is>
      </c>
      <c r="B43" s="4" t="inlineStr">
        <is>
          <t>6 A socket</t>
        </is>
      </c>
      <c r="C43" s="4" t="inlineStr">
        <is>
          <t>1'-0"</t>
        </is>
      </c>
      <c r="D43" s="4" t="inlineStr">
        <is>
          <t>Wet area</t>
        </is>
      </c>
      <c r="E43" s="4" t="n">
        <v>54.6</v>
      </c>
      <c r="F43" s="4" t="n">
        <v>5.6</v>
      </c>
      <c r="G43" s="4" t="inlineStr">
        <is>
          <t>utility, weatherproof</t>
        </is>
      </c>
    </row>
    <row r="44">
      <c r="A44" s="4" t="inlineStr">
        <is>
          <t>L</t>
        </is>
      </c>
      <c r="B44" s="4" t="inlineStr">
        <is>
          <t>Ceiling light</t>
        </is>
      </c>
      <c r="C44" s="4" t="inlineStr">
        <is>
          <t>ceiling</t>
        </is>
      </c>
      <c r="D44" s="4" t="inlineStr">
        <is>
          <t>Dining</t>
        </is>
      </c>
      <c r="E44" s="4" t="n">
        <v>50</v>
      </c>
      <c r="F44" s="4" t="n">
        <v>10</v>
      </c>
      <c r="G44" s="4" t="inlineStr">
        <is>
          <t>pendant over a future dining table</t>
        </is>
      </c>
    </row>
    <row r="45">
      <c r="A45" s="4" t="inlineStr">
        <is>
          <t>S</t>
        </is>
      </c>
      <c r="B45" s="4" t="inlineStr">
        <is>
          <t>Switchboard</t>
        </is>
      </c>
      <c r="C45" s="4" t="inlineStr">
        <is>
          <t>4'-0"</t>
        </is>
      </c>
      <c r="D45" s="4" t="inlineStr">
        <is>
          <t>Dining</t>
        </is>
      </c>
      <c r="E45" s="4" t="n">
        <v>45.4</v>
      </c>
      <c r="F45" s="4" t="n">
        <v>9.4</v>
      </c>
      <c r="G45" s="4" t="inlineStr">
        <is>
          <t>dining and wet area</t>
        </is>
      </c>
    </row>
    <row r="46">
      <c r="A46" s="4" t="inlineStr">
        <is>
          <t>L</t>
        </is>
      </c>
      <c r="B46" s="4" t="inlineStr">
        <is>
          <t>Ceiling light</t>
        </is>
      </c>
      <c r="C46" s="4" t="inlineStr">
        <is>
          <t>ceiling</t>
        </is>
      </c>
      <c r="D46" s="4" t="inlineStr">
        <is>
          <t>Kitchen</t>
        </is>
      </c>
      <c r="E46" s="4" t="n">
        <v>61</v>
      </c>
      <c r="F46" s="4" t="n">
        <v>8</v>
      </c>
      <c r="G46" s="4" t="inlineStr"/>
    </row>
    <row r="47">
      <c r="A47" s="4" t="inlineStr">
        <is>
          <t>WL</t>
        </is>
      </c>
      <c r="B47" s="4" t="inlineStr">
        <is>
          <t>Wall light / mirror light</t>
        </is>
      </c>
      <c r="C47" s="4" t="inlineStr">
        <is>
          <t>6'-6"</t>
        </is>
      </c>
      <c r="D47" s="4" t="inlineStr">
        <is>
          <t>Kitchen</t>
        </is>
      </c>
      <c r="E47" s="4" t="n">
        <v>60.5</v>
      </c>
      <c r="F47" s="4" t="n">
        <v>3.5</v>
      </c>
      <c r="G47" s="4" t="inlineStr">
        <is>
          <t>under-cabinet</t>
        </is>
      </c>
    </row>
    <row r="48">
      <c r="A48" s="4" t="inlineStr">
        <is>
          <t>WL</t>
        </is>
      </c>
      <c r="B48" s="4" t="inlineStr">
        <is>
          <t>Wall light / mirror light</t>
        </is>
      </c>
      <c r="C48" s="4" t="inlineStr">
        <is>
          <t>6'-6"</t>
        </is>
      </c>
      <c r="D48" s="4" t="inlineStr">
        <is>
          <t>Kitchen</t>
        </is>
      </c>
      <c r="E48" s="4" t="n">
        <v>66.5</v>
      </c>
      <c r="F48" s="4" t="n">
        <v>9.6</v>
      </c>
      <c r="G48" s="4" t="inlineStr">
        <is>
          <t>under-cabinet</t>
        </is>
      </c>
    </row>
    <row r="49">
      <c r="A49" s="4" t="inlineStr">
        <is>
          <t>CH</t>
        </is>
      </c>
      <c r="B49" s="4" t="inlineStr">
        <is>
          <t>Kitchen chimney point (16 A)</t>
        </is>
      </c>
      <c r="C49" s="4" t="inlineStr">
        <is>
          <t>7'-0"</t>
        </is>
      </c>
      <c r="D49" s="4" t="inlineStr">
        <is>
          <t>Kitchen</t>
        </is>
      </c>
      <c r="E49" s="4" t="n">
        <v>66.59999999999999</v>
      </c>
      <c r="F49" s="4" t="n">
        <v>7.5</v>
      </c>
      <c r="G49" s="4" t="inlineStr">
        <is>
          <t>3 ft chimney on solid wall, duct out through the east wall</t>
        </is>
      </c>
    </row>
    <row r="50">
      <c r="A50" s="4" t="inlineStr">
        <is>
          <t>PC</t>
        </is>
      </c>
      <c r="B50" s="4" t="inlineStr">
        <is>
          <t>6 A socket at counter</t>
        </is>
      </c>
      <c r="C50" s="4" t="inlineStr">
        <is>
          <t>3'-6"</t>
        </is>
      </c>
      <c r="D50" s="4" t="inlineStr">
        <is>
          <t>Kitchen</t>
        </is>
      </c>
      <c r="E50" s="4" t="n">
        <v>56</v>
      </c>
      <c r="F50" s="4" t="n">
        <v>3.5</v>
      </c>
      <c r="G50" s="4" t="inlineStr"/>
    </row>
    <row r="51">
      <c r="A51" s="4" t="inlineStr">
        <is>
          <t>PC</t>
        </is>
      </c>
      <c r="B51" s="4" t="inlineStr">
        <is>
          <t>6 A socket at counter</t>
        </is>
      </c>
      <c r="C51" s="4" t="inlineStr">
        <is>
          <t>3'-6"</t>
        </is>
      </c>
      <c r="D51" s="4" t="inlineStr">
        <is>
          <t>Kitchen</t>
        </is>
      </c>
      <c r="E51" s="4" t="n">
        <v>57.8</v>
      </c>
      <c r="F51" s="4" t="n">
        <v>3.5</v>
      </c>
      <c r="G51" s="4" t="inlineStr">
        <is>
          <t>microwave / OTG</t>
        </is>
      </c>
    </row>
    <row r="52">
      <c r="A52" s="4" t="inlineStr">
        <is>
          <t>PC</t>
        </is>
      </c>
      <c r="B52" s="4" t="inlineStr">
        <is>
          <t>6 A socket at counter</t>
        </is>
      </c>
      <c r="C52" s="4" t="inlineStr">
        <is>
          <t>3'-6"</t>
        </is>
      </c>
      <c r="D52" s="4" t="inlineStr">
        <is>
          <t>Kitchen</t>
        </is>
      </c>
      <c r="E52" s="4" t="n">
        <v>65.3</v>
      </c>
      <c r="F52" s="4" t="n">
        <v>3.5</v>
      </c>
      <c r="G52" s="4" t="inlineStr">
        <is>
          <t>mixer</t>
        </is>
      </c>
    </row>
    <row r="53">
      <c r="A53" s="4" t="inlineStr">
        <is>
          <t>PC</t>
        </is>
      </c>
      <c r="B53" s="4" t="inlineStr">
        <is>
          <t>6 A socket at counter</t>
        </is>
      </c>
      <c r="C53" s="4" t="inlineStr">
        <is>
          <t>3'-6"</t>
        </is>
      </c>
      <c r="D53" s="4" t="inlineStr">
        <is>
          <t>Kitchen</t>
        </is>
      </c>
      <c r="E53" s="4" t="n">
        <v>66.59999999999999</v>
      </c>
      <c r="F53" s="4" t="n">
        <v>5.6</v>
      </c>
      <c r="G53" s="4" t="inlineStr"/>
    </row>
    <row r="54">
      <c r="A54" s="4" t="inlineStr">
        <is>
          <t>PC</t>
        </is>
      </c>
      <c r="B54" s="4" t="inlineStr">
        <is>
          <t>6 A socket at counter</t>
        </is>
      </c>
      <c r="C54" s="4" t="inlineStr">
        <is>
          <t>3'-6"</t>
        </is>
      </c>
      <c r="D54" s="4" t="inlineStr">
        <is>
          <t>Kitchen</t>
        </is>
      </c>
      <c r="E54" s="4" t="n">
        <v>66.59999999999999</v>
      </c>
      <c r="F54" s="4" t="n">
        <v>10.5</v>
      </c>
      <c r="G54" s="4" t="inlineStr"/>
    </row>
    <row r="55">
      <c r="A55" s="4" t="inlineStr">
        <is>
          <t>PC</t>
        </is>
      </c>
      <c r="B55" s="4" t="inlineStr">
        <is>
          <t>6 A socket at counter</t>
        </is>
      </c>
      <c r="C55" s="4" t="inlineStr">
        <is>
          <t>3'-6"</t>
        </is>
      </c>
      <c r="D55" s="4" t="inlineStr">
        <is>
          <t>Kitchen</t>
        </is>
      </c>
      <c r="E55" s="4" t="n">
        <v>59.6</v>
      </c>
      <c r="F55" s="4" t="n">
        <v>3.5</v>
      </c>
      <c r="G55" s="4" t="inlineStr">
        <is>
          <t>RO purifier, by sink</t>
        </is>
      </c>
    </row>
    <row r="56">
      <c r="A56" s="4" t="inlineStr">
        <is>
          <t>P16</t>
        </is>
      </c>
      <c r="B56" s="4" t="inlineStr">
        <is>
          <t>16 A power socket</t>
        </is>
      </c>
      <c r="C56" s="4" t="inlineStr">
        <is>
          <t>varies</t>
        </is>
      </c>
      <c r="D56" s="4" t="inlineStr">
        <is>
          <t>Kitchen</t>
        </is>
      </c>
      <c r="E56" s="4" t="n">
        <v>59.6</v>
      </c>
      <c r="F56" s="4" t="n">
        <v>12.1</v>
      </c>
      <c r="G56" s="4" t="inlineStr">
        <is>
          <t>refrigerator</t>
        </is>
      </c>
    </row>
    <row r="57">
      <c r="A57" s="4" t="inlineStr">
        <is>
          <t>S</t>
        </is>
      </c>
      <c r="B57" s="4" t="inlineStr">
        <is>
          <t>Switchboard</t>
        </is>
      </c>
      <c r="C57" s="4" t="inlineStr">
        <is>
          <t>4'-0"</t>
        </is>
      </c>
      <c r="D57" s="4" t="inlineStr">
        <is>
          <t>Kitchen</t>
        </is>
      </c>
      <c r="E57" s="4" t="n">
        <v>55.4</v>
      </c>
      <c r="F57" s="4" t="n">
        <v>8.199999999999999</v>
      </c>
      <c r="G57" s="4" t="inlineStr">
        <is>
          <t>beside the entry, latch side</t>
        </is>
      </c>
    </row>
    <row r="58">
      <c r="A58" s="4" t="inlineStr">
        <is>
          <t>L</t>
        </is>
      </c>
      <c r="B58" s="4" t="inlineStr">
        <is>
          <t>Ceiling light</t>
        </is>
      </c>
      <c r="C58" s="4" t="inlineStr">
        <is>
          <t>ceiling</t>
        </is>
      </c>
      <c r="D58" s="4" t="inlineStr">
        <is>
          <t>Pooja</t>
        </is>
      </c>
      <c r="E58" s="4" t="n">
        <v>59</v>
      </c>
      <c r="F58" s="4" t="n">
        <v>14.5</v>
      </c>
      <c r="G58" s="4" t="inlineStr"/>
    </row>
    <row r="59">
      <c r="A59" s="4" t="inlineStr">
        <is>
          <t>WL</t>
        </is>
      </c>
      <c r="B59" s="4" t="inlineStr">
        <is>
          <t>Wall light / mirror light</t>
        </is>
      </c>
      <c r="C59" s="4" t="inlineStr">
        <is>
          <t>6'-6"</t>
        </is>
      </c>
      <c r="D59" s="4" t="inlineStr">
        <is>
          <t>Pooja</t>
        </is>
      </c>
      <c r="E59" s="4" t="n">
        <v>60.4</v>
      </c>
      <c r="F59" s="4" t="n">
        <v>14.5</v>
      </c>
      <c r="G59" s="4" t="inlineStr">
        <is>
          <t>lamp niche above the idols</t>
        </is>
      </c>
    </row>
    <row r="60">
      <c r="A60" s="4" t="inlineStr">
        <is>
          <t>P</t>
        </is>
      </c>
      <c r="B60" s="4" t="inlineStr">
        <is>
          <t>6 A socket</t>
        </is>
      </c>
      <c r="C60" s="4" t="inlineStr">
        <is>
          <t>1'-0"</t>
        </is>
      </c>
      <c r="D60" s="4" t="inlineStr">
        <is>
          <t>Pooja</t>
        </is>
      </c>
      <c r="E60" s="4" t="n">
        <v>57.4</v>
      </c>
      <c r="F60" s="4" t="n">
        <v>16.2</v>
      </c>
      <c r="G60" s="4" t="inlineStr"/>
    </row>
    <row r="61">
      <c r="A61" s="4" t="inlineStr">
        <is>
          <t>S</t>
        </is>
      </c>
      <c r="B61" s="4" t="inlineStr">
        <is>
          <t>Switchboard</t>
        </is>
      </c>
      <c r="C61" s="4" t="inlineStr">
        <is>
          <t>4'-0"</t>
        </is>
      </c>
      <c r="D61" s="4" t="inlineStr">
        <is>
          <t>Living</t>
        </is>
      </c>
      <c r="E61" s="4" t="n">
        <v>56.6</v>
      </c>
      <c r="F61" s="4" t="n">
        <v>16.9</v>
      </c>
      <c r="G61" s="4" t="inlineStr">
        <is>
          <t>pooja switches outside, living side</t>
        </is>
      </c>
    </row>
    <row r="62">
      <c r="A62" s="4" t="inlineStr">
        <is>
          <t>F</t>
        </is>
      </c>
      <c r="B62" s="4" t="inlineStr">
        <is>
          <t>Ceiling fan point</t>
        </is>
      </c>
      <c r="C62" s="4" t="inlineStr">
        <is>
          <t>ceiling</t>
        </is>
      </c>
      <c r="D62" s="4" t="inlineStr">
        <is>
          <t>Living</t>
        </is>
      </c>
      <c r="E62" s="4" t="n">
        <v>52</v>
      </c>
      <c r="F62" s="4" t="n">
        <v>18</v>
      </c>
      <c r="G62" s="4" t="inlineStr"/>
    </row>
    <row r="63">
      <c r="A63" s="4" t="inlineStr">
        <is>
          <t>L</t>
        </is>
      </c>
      <c r="B63" s="4" t="inlineStr">
        <is>
          <t>Ceiling light</t>
        </is>
      </c>
      <c r="C63" s="4" t="inlineStr">
        <is>
          <t>ceiling</t>
        </is>
      </c>
      <c r="D63" s="4" t="inlineStr">
        <is>
          <t>Living</t>
        </is>
      </c>
      <c r="E63" s="4" t="n">
        <v>49.5</v>
      </c>
      <c r="F63" s="4" t="n">
        <v>22</v>
      </c>
      <c r="G63" s="4" t="inlineStr">
        <is>
          <t>pendant</t>
        </is>
      </c>
    </row>
    <row r="64">
      <c r="A64" s="4" t="inlineStr">
        <is>
          <t>L</t>
        </is>
      </c>
      <c r="B64" s="4" t="inlineStr">
        <is>
          <t>Ceiling light</t>
        </is>
      </c>
      <c r="C64" s="4" t="inlineStr">
        <is>
          <t>ceiling</t>
        </is>
      </c>
      <c r="D64" s="4" t="inlineStr">
        <is>
          <t>Living</t>
        </is>
      </c>
      <c r="E64" s="4" t="n">
        <v>56.5</v>
      </c>
      <c r="F64" s="4" t="n">
        <v>15.5</v>
      </c>
      <c r="G64" s="4" t="inlineStr">
        <is>
          <t>pendant</t>
        </is>
      </c>
    </row>
    <row r="65">
      <c r="A65" s="4" t="inlineStr">
        <is>
          <t>WL</t>
        </is>
      </c>
      <c r="B65" s="4" t="inlineStr">
        <is>
          <t>Wall light / mirror light</t>
        </is>
      </c>
      <c r="C65" s="4" t="inlineStr">
        <is>
          <t>6'-6"</t>
        </is>
      </c>
      <c r="D65" s="4" t="inlineStr">
        <is>
          <t>Living</t>
        </is>
      </c>
      <c r="E65" s="4" t="n">
        <v>45.4</v>
      </c>
      <c r="F65" s="4" t="n">
        <v>18.9</v>
      </c>
      <c r="G65" s="4" t="inlineStr">
        <is>
          <t>inside the lamp niche</t>
        </is>
      </c>
    </row>
    <row r="66">
      <c r="A66" s="4" t="inlineStr">
        <is>
          <t>TV</t>
        </is>
      </c>
      <c r="B66" s="4" t="inlineStr">
        <is>
          <t>TV + data point</t>
        </is>
      </c>
      <c r="C66" s="4" t="inlineStr">
        <is>
          <t>3'-6"</t>
        </is>
      </c>
      <c r="D66" s="4" t="inlineStr">
        <is>
          <t>Living</t>
        </is>
      </c>
      <c r="E66" s="4" t="n">
        <v>45.4</v>
      </c>
      <c r="F66" s="4" t="n">
        <v>22.4</v>
      </c>
      <c r="G66" s="4" t="inlineStr">
        <is>
          <t>TV wall: 2 sockets + data + HDMI conduit to the unit</t>
        </is>
      </c>
    </row>
    <row r="67">
      <c r="A67" s="4" t="inlineStr">
        <is>
          <t>P</t>
        </is>
      </c>
      <c r="B67" s="4" t="inlineStr">
        <is>
          <t>6 A socket</t>
        </is>
      </c>
      <c r="C67" s="4" t="inlineStr">
        <is>
          <t>1'-0"</t>
        </is>
      </c>
      <c r="D67" s="4" t="inlineStr">
        <is>
          <t>Living</t>
        </is>
      </c>
      <c r="E67" s="4" t="n">
        <v>45.4</v>
      </c>
      <c r="F67" s="4" t="n">
        <v>21</v>
      </c>
      <c r="G67" s="4" t="inlineStr">
        <is>
          <t>TV unit</t>
        </is>
      </c>
    </row>
    <row r="68">
      <c r="A68" s="4" t="inlineStr">
        <is>
          <t>P</t>
        </is>
      </c>
      <c r="B68" s="4" t="inlineStr">
        <is>
          <t>6 A socket</t>
        </is>
      </c>
      <c r="C68" s="4" t="inlineStr">
        <is>
          <t>1'-0"</t>
        </is>
      </c>
      <c r="D68" s="4" t="inlineStr">
        <is>
          <t>Living</t>
        </is>
      </c>
      <c r="E68" s="4" t="n">
        <v>55.4</v>
      </c>
      <c r="F68" s="4" t="n">
        <v>19.4</v>
      </c>
      <c r="G68" s="4" t="inlineStr">
        <is>
          <t>floor socket, sofa end</t>
        </is>
      </c>
    </row>
    <row r="69">
      <c r="A69" s="4" t="inlineStr">
        <is>
          <t>S</t>
        </is>
      </c>
      <c r="B69" s="4" t="inlineStr">
        <is>
          <t>Switchboard</t>
        </is>
      </c>
      <c r="C69" s="4" t="inlineStr">
        <is>
          <t>4'-0"</t>
        </is>
      </c>
      <c r="D69" s="4" t="inlineStr">
        <is>
          <t>Living</t>
        </is>
      </c>
      <c r="E69" s="4" t="n">
        <v>60.6</v>
      </c>
      <c r="F69" s="4" t="n">
        <v>21</v>
      </c>
      <c r="G69" s="4" t="inlineStr">
        <is>
          <t>main switch at door</t>
        </is>
      </c>
    </row>
    <row r="70">
      <c r="A70" s="4" t="inlineStr">
        <is>
          <t>L</t>
        </is>
      </c>
      <c r="B70" s="4" t="inlineStr">
        <is>
          <t>Ceiling light</t>
        </is>
      </c>
      <c r="C70" s="4" t="inlineStr">
        <is>
          <t>ceiling</t>
        </is>
      </c>
      <c r="D70" s="4" t="inlineStr">
        <is>
          <t>Poomukham (verandah)</t>
        </is>
      </c>
      <c r="E70" s="4" t="n">
        <v>64</v>
      </c>
      <c r="F70" s="4" t="n">
        <v>15.5</v>
      </c>
      <c r="G70" s="4" t="inlineStr"/>
    </row>
    <row r="71">
      <c r="A71" s="4" t="inlineStr">
        <is>
          <t>L</t>
        </is>
      </c>
      <c r="B71" s="4" t="inlineStr">
        <is>
          <t>Ceiling light</t>
        </is>
      </c>
      <c r="C71" s="4" t="inlineStr">
        <is>
          <t>ceiling</t>
        </is>
      </c>
      <c r="D71" s="4" t="inlineStr">
        <is>
          <t>Poomukham (verandah)</t>
        </is>
      </c>
      <c r="E71" s="4" t="n">
        <v>64</v>
      </c>
      <c r="F71" s="4" t="n">
        <v>22</v>
      </c>
      <c r="G71" s="4" t="inlineStr"/>
    </row>
    <row r="72">
      <c r="A72" s="4" t="inlineStr">
        <is>
          <t>BELL</t>
        </is>
      </c>
      <c r="B72" s="4" t="inlineStr">
        <is>
          <t>Bell push</t>
        </is>
      </c>
      <c r="C72" s="4" t="inlineStr">
        <is>
          <t>4'-6"</t>
        </is>
      </c>
      <c r="D72" s="4" t="inlineStr">
        <is>
          <t>Poomukham (verandah)</t>
        </is>
      </c>
      <c r="E72" s="4" t="n">
        <v>61.4</v>
      </c>
      <c r="F72" s="4" t="n">
        <v>21</v>
      </c>
      <c r="G72" s="4" t="inlineStr"/>
    </row>
    <row r="73">
      <c r="A73" s="4" t="inlineStr">
        <is>
          <t>CAM</t>
        </is>
      </c>
      <c r="B73" s="4" t="inlineStr">
        <is>
          <t>CCTV point</t>
        </is>
      </c>
      <c r="C73" s="4" t="inlineStr">
        <is>
          <t>8'-0"</t>
        </is>
      </c>
      <c r="D73" s="4" t="inlineStr">
        <is>
          <t>Poomukham (verandah)</t>
        </is>
      </c>
      <c r="E73" s="4" t="n">
        <v>66.5</v>
      </c>
      <c r="F73" s="4" t="n">
        <v>24.6</v>
      </c>
      <c r="G73" s="4" t="inlineStr">
        <is>
          <t>covers gate and door</t>
        </is>
      </c>
    </row>
    <row r="74">
      <c r="A74" s="4" t="inlineStr">
        <is>
          <t>P</t>
        </is>
      </c>
      <c r="B74" s="4" t="inlineStr">
        <is>
          <t>6 A socket</t>
        </is>
      </c>
      <c r="C74" s="4" t="inlineStr">
        <is>
          <t>1'-0"</t>
        </is>
      </c>
      <c r="D74" s="4" t="inlineStr">
        <is>
          <t>Poomukham (verandah)</t>
        </is>
      </c>
      <c r="E74" s="4" t="n">
        <v>61.4</v>
      </c>
      <c r="F74" s="4" t="n">
        <v>24</v>
      </c>
      <c r="G74" s="4" t="inlineStr">
        <is>
          <t>outdoor, weatherproof</t>
        </is>
      </c>
    </row>
    <row r="75">
      <c r="A75" s="4" t="inlineStr">
        <is>
          <t>S</t>
        </is>
      </c>
      <c r="B75" s="4" t="inlineStr">
        <is>
          <t>Switchboard</t>
        </is>
      </c>
      <c r="C75" s="4" t="inlineStr">
        <is>
          <t>4'-0"</t>
        </is>
      </c>
      <c r="D75" s="4" t="inlineStr">
        <is>
          <t>Poomukham (verandah)</t>
        </is>
      </c>
      <c r="E75" s="4" t="n">
        <v>61.4</v>
      </c>
      <c r="F75" s="4" t="n">
        <v>21.5</v>
      </c>
      <c r="G75" s="4" t="inlineStr"/>
    </row>
    <row r="76">
      <c r="A76" s="4" t="inlineStr">
        <is>
          <t>GL</t>
        </is>
      </c>
      <c r="B76" s="4" t="inlineStr">
        <is>
          <t>Outdoor / gate light</t>
        </is>
      </c>
      <c r="C76" s="4" t="inlineStr">
        <is>
          <t>7'-0"</t>
        </is>
      </c>
      <c r="D76" s="4" t="inlineStr">
        <is>
          <t>Poomukham (verandah)</t>
        </is>
      </c>
      <c r="E76" s="4" t="n">
        <v>66.40000000000001</v>
      </c>
      <c r="F76" s="4" t="n">
        <v>16.4</v>
      </c>
      <c r="G76" s="4" t="inlineStr">
        <is>
          <t>uplight at the pillar base</t>
        </is>
      </c>
    </row>
    <row r="77">
      <c r="A77" s="4" t="inlineStr">
        <is>
          <t>GL</t>
        </is>
      </c>
      <c r="B77" s="4" t="inlineStr">
        <is>
          <t>Outdoor / gate light</t>
        </is>
      </c>
      <c r="C77" s="4" t="inlineStr">
        <is>
          <t>7'-0"</t>
        </is>
      </c>
      <c r="D77" s="4" t="inlineStr">
        <is>
          <t>Poomukham (verandah)</t>
        </is>
      </c>
      <c r="E77" s="4" t="n">
        <v>66.40000000000001</v>
      </c>
      <c r="F77" s="4" t="n">
        <v>21.8</v>
      </c>
      <c r="G77" s="4" t="inlineStr">
        <is>
          <t>uplight at the pillar base</t>
        </is>
      </c>
    </row>
    <row r="78">
      <c r="A78" s="4" t="inlineStr">
        <is>
          <t>WL</t>
        </is>
      </c>
      <c r="B78" s="4" t="inlineStr">
        <is>
          <t>Wall light / mirror light</t>
        </is>
      </c>
      <c r="C78" s="4" t="inlineStr">
        <is>
          <t>6'-6"</t>
        </is>
      </c>
      <c r="D78" s="4" t="inlineStr">
        <is>
          <t>Poomukham (verandah)</t>
        </is>
      </c>
      <c r="E78" s="4" t="n">
        <v>61.4</v>
      </c>
      <c r="F78" s="4" t="n">
        <v>17.1</v>
      </c>
      <c r="G78" s="4" t="inlineStr">
        <is>
          <t>warm lantern beside the main door</t>
        </is>
      </c>
    </row>
    <row r="79">
      <c r="A79" s="4" t="inlineStr">
        <is>
          <t>MTR</t>
        </is>
      </c>
      <c r="B79" s="4" t="inlineStr">
        <is>
          <t>Meter at gate</t>
        </is>
      </c>
      <c r="C79" s="4" t="inlineStr">
        <is>
          <t>5'-0"</t>
        </is>
      </c>
      <c r="D79" s="4" t="inlineStr">
        <is>
          <t>Site</t>
        </is>
      </c>
      <c r="E79" s="4" t="n">
        <v>74.59999999999999</v>
      </c>
      <c r="F79" s="4" t="n">
        <v>23.2</v>
      </c>
      <c r="G79" s="4" t="inlineStr">
        <is>
          <t>meter in compound wall by gate</t>
        </is>
      </c>
    </row>
    <row r="80">
      <c r="A80" s="4" t="inlineStr">
        <is>
          <t>GL</t>
        </is>
      </c>
      <c r="B80" s="4" t="inlineStr">
        <is>
          <t>Outdoor / gate light</t>
        </is>
      </c>
      <c r="C80" s="4" t="inlineStr">
        <is>
          <t>7'-0"</t>
        </is>
      </c>
      <c r="D80" s="4" t="inlineStr">
        <is>
          <t>Site</t>
        </is>
      </c>
      <c r="E80" s="4" t="n">
        <v>74.7</v>
      </c>
      <c r="F80" s="4" t="n">
        <v>15.3</v>
      </c>
      <c r="G80" s="4" t="inlineStr">
        <is>
          <t>gate post light</t>
        </is>
      </c>
    </row>
    <row r="81">
      <c r="A81" s="4" t="inlineStr">
        <is>
          <t>GL</t>
        </is>
      </c>
      <c r="B81" s="4" t="inlineStr">
        <is>
          <t>Outdoor / gate light</t>
        </is>
      </c>
      <c r="C81" s="4" t="inlineStr">
        <is>
          <t>7'-0"</t>
        </is>
      </c>
      <c r="D81" s="4" t="inlineStr">
        <is>
          <t>Site</t>
        </is>
      </c>
      <c r="E81" s="4" t="n">
        <v>74.7</v>
      </c>
      <c r="F81" s="4" t="n">
        <v>22.9</v>
      </c>
      <c r="G81" s="4" t="inlineStr">
        <is>
          <t>gate post light</t>
        </is>
      </c>
    </row>
    <row r="82">
      <c r="A82" s="4" t="inlineStr">
        <is>
          <t>EP</t>
        </is>
      </c>
      <c r="B82" s="4" t="inlineStr">
        <is>
          <t>Earth pit</t>
        </is>
      </c>
      <c r="C82" s="4" t="inlineStr">
        <is>
          <t>ground</t>
        </is>
      </c>
      <c r="D82" s="4" t="inlineStr">
        <is>
          <t>Site</t>
        </is>
      </c>
      <c r="E82" s="4" t="n">
        <v>68.2</v>
      </c>
      <c r="F82" s="4" t="n">
        <v>1.5</v>
      </c>
      <c r="G82" s="4" t="inlineStr">
        <is>
          <t>earth pit 1</t>
        </is>
      </c>
    </row>
    <row r="83">
      <c r="A83" s="4" t="inlineStr">
        <is>
          <t>EP</t>
        </is>
      </c>
      <c r="B83" s="4" t="inlineStr">
        <is>
          <t>Earth pit</t>
        </is>
      </c>
      <c r="C83" s="4" t="inlineStr">
        <is>
          <t>ground</t>
        </is>
      </c>
      <c r="D83" s="4" t="inlineStr">
        <is>
          <t>Site</t>
        </is>
      </c>
      <c r="E83" s="4" t="n">
        <v>73.5</v>
      </c>
      <c r="F83" s="4" t="n">
        <v>1.5</v>
      </c>
      <c r="G83" s="4" t="inlineStr">
        <is>
          <t>earth pit 2</t>
        </is>
      </c>
    </row>
    <row r="84">
      <c r="A84" s="4" t="inlineStr">
        <is>
          <t>GL</t>
        </is>
      </c>
      <c r="B84" s="4" t="inlineStr">
        <is>
          <t>Outdoor / gate light</t>
        </is>
      </c>
      <c r="C84" s="4" t="inlineStr">
        <is>
          <t>7'-0"</t>
        </is>
      </c>
      <c r="D84" s="4" t="inlineStr">
        <is>
          <t>Site</t>
        </is>
      </c>
      <c r="E84" s="4" t="n">
        <v>19</v>
      </c>
      <c r="F84" s="4" t="n">
        <v>8</v>
      </c>
      <c r="G84" s="4" t="inlineStr">
        <is>
          <t>spare land / kitchen garden</t>
        </is>
      </c>
    </row>
    <row r="85">
      <c r="A85" s="4" t="inlineStr">
        <is>
          <t>F</t>
        </is>
      </c>
      <c r="B85" s="4" t="inlineStr">
        <is>
          <t>Ceiling fan point</t>
        </is>
      </c>
      <c r="C85" s="4" t="inlineStr">
        <is>
          <t>ceiling</t>
        </is>
      </c>
      <c r="D85" s="4" t="inlineStr">
        <is>
          <t>Upper master bedroom</t>
        </is>
      </c>
      <c r="E85" s="4" t="n">
        <v>28</v>
      </c>
      <c r="F85" s="4" t="n">
        <v>8.5</v>
      </c>
      <c r="G85" s="4" t="inlineStr">
        <is>
          <t>clear of the bed head</t>
        </is>
      </c>
    </row>
    <row r="86">
      <c r="A86" s="4" t="inlineStr">
        <is>
          <t>L</t>
        </is>
      </c>
      <c r="B86" s="4" t="inlineStr">
        <is>
          <t>Ceiling light</t>
        </is>
      </c>
      <c r="C86" s="4" t="inlineStr">
        <is>
          <t>ceiling</t>
        </is>
      </c>
      <c r="D86" s="4" t="inlineStr">
        <is>
          <t>Upper master bedroom</t>
        </is>
      </c>
      <c r="E86" s="4" t="n">
        <v>25.5</v>
      </c>
      <c r="F86" s="4" t="n">
        <v>13.6</v>
      </c>
      <c r="G86" s="4" t="inlineStr"/>
    </row>
    <row r="87">
      <c r="A87" s="4" t="inlineStr">
        <is>
          <t>L</t>
        </is>
      </c>
      <c r="B87" s="4" t="inlineStr">
        <is>
          <t>Ceiling light</t>
        </is>
      </c>
      <c r="C87" s="4" t="inlineStr">
        <is>
          <t>ceiling</t>
        </is>
      </c>
      <c r="D87" s="4" t="inlineStr">
        <is>
          <t>Upper master bedroom</t>
        </is>
      </c>
      <c r="E87" s="4" t="n">
        <v>32.5</v>
      </c>
      <c r="F87" s="4" t="n">
        <v>7</v>
      </c>
      <c r="G87" s="4" t="inlineStr"/>
    </row>
    <row r="88">
      <c r="A88" s="4" t="inlineStr">
        <is>
          <t>S</t>
        </is>
      </c>
      <c r="B88" s="4" t="inlineStr">
        <is>
          <t>Switchboard</t>
        </is>
      </c>
      <c r="C88" s="4" t="inlineStr">
        <is>
          <t>4'-0"</t>
        </is>
      </c>
      <c r="D88" s="4" t="inlineStr">
        <is>
          <t>Upper master bedroom</t>
        </is>
      </c>
      <c r="E88" s="4" t="n">
        <v>34.6</v>
      </c>
      <c r="F88" s="4" t="n">
        <v>13.9</v>
      </c>
      <c r="G88" s="4" t="inlineStr">
        <is>
          <t>at the door, latch side, 2-way</t>
        </is>
      </c>
    </row>
    <row r="89">
      <c r="A89" s="4" t="inlineStr">
        <is>
          <t>S</t>
        </is>
      </c>
      <c r="B89" s="4" t="inlineStr">
        <is>
          <t>Switchboard</t>
        </is>
      </c>
      <c r="C89" s="4" t="inlineStr">
        <is>
          <t>4'-0"</t>
        </is>
      </c>
      <c r="D89" s="4" t="inlineStr">
        <is>
          <t>Upper master bedroom</t>
        </is>
      </c>
      <c r="E89" s="4" t="n">
        <v>23.4</v>
      </c>
      <c r="F89" s="4" t="n">
        <v>12.9</v>
      </c>
      <c r="G89" s="4" t="inlineStr">
        <is>
          <t>bedside, 2-way</t>
        </is>
      </c>
    </row>
    <row r="90">
      <c r="A90" s="4" t="inlineStr">
        <is>
          <t>P</t>
        </is>
      </c>
      <c r="B90" s="4" t="inlineStr">
        <is>
          <t>6 A socket</t>
        </is>
      </c>
      <c r="C90" s="4" t="inlineStr">
        <is>
          <t>1'-0"</t>
        </is>
      </c>
      <c r="D90" s="4" t="inlineStr">
        <is>
          <t>Upper master bedroom</t>
        </is>
      </c>
      <c r="E90" s="4" t="n">
        <v>23.4</v>
      </c>
      <c r="F90" s="4" t="n">
        <v>4.2</v>
      </c>
      <c r="G90" s="4" t="inlineStr">
        <is>
          <t>bedside</t>
        </is>
      </c>
    </row>
    <row r="91">
      <c r="A91" s="4" t="inlineStr">
        <is>
          <t>P</t>
        </is>
      </c>
      <c r="B91" s="4" t="inlineStr">
        <is>
          <t>6 A socket</t>
        </is>
      </c>
      <c r="C91" s="4" t="inlineStr">
        <is>
          <t>1'-0"</t>
        </is>
      </c>
      <c r="D91" s="4" t="inlineStr">
        <is>
          <t>Upper master bedroom</t>
        </is>
      </c>
      <c r="E91" s="4" t="n">
        <v>23.4</v>
      </c>
      <c r="F91" s="4" t="n">
        <v>12</v>
      </c>
      <c r="G91" s="4" t="inlineStr">
        <is>
          <t>bedside</t>
        </is>
      </c>
    </row>
    <row r="92">
      <c r="A92" s="4" t="inlineStr">
        <is>
          <t>P</t>
        </is>
      </c>
      <c r="B92" s="4" t="inlineStr">
        <is>
          <t>6 A socket</t>
        </is>
      </c>
      <c r="C92" s="4" t="inlineStr">
        <is>
          <t>1'-0"</t>
        </is>
      </c>
      <c r="D92" s="4" t="inlineStr">
        <is>
          <t>Upper master bedroom</t>
        </is>
      </c>
      <c r="E92" s="4" t="n">
        <v>33</v>
      </c>
      <c r="F92" s="4" t="n">
        <v>3.4</v>
      </c>
      <c r="G92" s="4" t="inlineStr">
        <is>
          <t>reading chair</t>
        </is>
      </c>
    </row>
    <row r="93">
      <c r="A93" s="4" t="inlineStr">
        <is>
          <t>AC</t>
        </is>
      </c>
      <c r="B93" s="4" t="inlineStr">
        <is>
          <t>AC indoor unit (16 A socket, sleeve, drain)</t>
        </is>
      </c>
      <c r="C93" s="4" t="inlineStr">
        <is>
          <t>7'-6"</t>
        </is>
      </c>
      <c r="D93" s="4" t="inlineStr">
        <is>
          <t>Upper master bedroom</t>
        </is>
      </c>
      <c r="E93" s="4" t="n">
        <v>34.6</v>
      </c>
      <c r="F93" s="4" t="n">
        <v>8</v>
      </c>
      <c r="G93" s="4" t="inlineStr">
        <is>
          <t>east wall, throws west toward the bed foot</t>
        </is>
      </c>
    </row>
    <row r="94">
      <c r="A94" s="4" t="inlineStr">
        <is>
          <t>ODU</t>
        </is>
      </c>
      <c r="B94" s="4" t="inlineStr">
        <is>
          <t>AC outdoor unit bracket</t>
        </is>
      </c>
      <c r="C94" s="4" t="inlineStr">
        <is>
          <t>7'-0" outside</t>
        </is>
      </c>
      <c r="D94" s="4" t="inlineStr">
        <is>
          <t>Upper master bedroom</t>
        </is>
      </c>
      <c r="E94" s="4" t="n">
        <v>30</v>
      </c>
      <c r="F94" s="4" t="n">
        <v>2.4</v>
      </c>
      <c r="G94" s="4" t="inlineStr">
        <is>
          <t>south wall, under the eave</t>
        </is>
      </c>
    </row>
    <row r="95">
      <c r="A95" s="4" t="inlineStr">
        <is>
          <t>L</t>
        </is>
      </c>
      <c r="B95" s="4" t="inlineStr">
        <is>
          <t>Ceiling light</t>
        </is>
      </c>
      <c r="C95" s="4" t="inlineStr">
        <is>
          <t>ceiling</t>
        </is>
      </c>
      <c r="D95" s="4" t="inlineStr">
        <is>
          <t>Dressing</t>
        </is>
      </c>
      <c r="E95" s="4" t="n">
        <v>37.7</v>
      </c>
      <c r="F95" s="4" t="n">
        <v>6.5</v>
      </c>
      <c r="G95" s="4" t="inlineStr"/>
    </row>
    <row r="96">
      <c r="A96" s="4" t="inlineStr">
        <is>
          <t>S</t>
        </is>
      </c>
      <c r="B96" s="4" t="inlineStr">
        <is>
          <t>Switchboard</t>
        </is>
      </c>
      <c r="C96" s="4" t="inlineStr">
        <is>
          <t>4'-0"</t>
        </is>
      </c>
      <c r="D96" s="4" t="inlineStr">
        <is>
          <t>Upper master bedroom</t>
        </is>
      </c>
      <c r="E96" s="4" t="n">
        <v>34.6</v>
      </c>
      <c r="F96" s="4" t="n">
        <v>4.6</v>
      </c>
      <c r="G96" s="4" t="inlineStr">
        <is>
          <t>dressing light</t>
        </is>
      </c>
    </row>
    <row r="97">
      <c r="A97" s="4" t="inlineStr">
        <is>
          <t>P</t>
        </is>
      </c>
      <c r="B97" s="4" t="inlineStr">
        <is>
          <t>6 A socket</t>
        </is>
      </c>
      <c r="C97" s="4" t="inlineStr">
        <is>
          <t>1'-0"</t>
        </is>
      </c>
      <c r="D97" s="4" t="inlineStr">
        <is>
          <t>Dressing</t>
        </is>
      </c>
      <c r="E97" s="4" t="n">
        <v>38.8</v>
      </c>
      <c r="F97" s="4" t="n">
        <v>4.2</v>
      </c>
      <c r="G97" s="4" t="inlineStr">
        <is>
          <t>dresser</t>
        </is>
      </c>
    </row>
    <row r="98">
      <c r="A98" s="4" t="inlineStr">
        <is>
          <t>L</t>
        </is>
      </c>
      <c r="B98" s="4" t="inlineStr">
        <is>
          <t>Ceiling light</t>
        </is>
      </c>
      <c r="C98" s="4" t="inlineStr">
        <is>
          <t>ceiling</t>
        </is>
      </c>
      <c r="D98" s="4" t="inlineStr">
        <is>
          <t>Upper master bath</t>
        </is>
      </c>
      <c r="E98" s="4" t="n">
        <v>42.7</v>
      </c>
      <c r="F98" s="4" t="n">
        <v>6</v>
      </c>
      <c r="G98" s="4" t="inlineStr"/>
    </row>
    <row r="99">
      <c r="A99" s="4" t="inlineStr">
        <is>
          <t>EF</t>
        </is>
      </c>
      <c r="B99" s="4" t="inlineStr">
        <is>
          <t>Exhaust fan</t>
        </is>
      </c>
      <c r="C99" s="4" t="inlineStr">
        <is>
          <t>7'-0"</t>
        </is>
      </c>
      <c r="D99" s="4" t="inlineStr">
        <is>
          <t>Upper master bath</t>
        </is>
      </c>
      <c r="E99" s="4" t="n">
        <v>44.7</v>
      </c>
      <c r="F99" s="4" t="n">
        <v>3.4</v>
      </c>
      <c r="G99" s="4" t="inlineStr">
        <is>
          <t>out through the south wall</t>
        </is>
      </c>
    </row>
    <row r="100">
      <c r="A100" s="4" t="inlineStr">
        <is>
          <t>G</t>
        </is>
      </c>
      <c r="B100" s="4" t="inlineStr">
        <is>
          <t>Geyser (16 A)</t>
        </is>
      </c>
      <c r="C100" s="4" t="inlineStr">
        <is>
          <t>6'-6"</t>
        </is>
      </c>
      <c r="D100" s="4" t="inlineStr">
        <is>
          <t>Upper master bath</t>
        </is>
      </c>
      <c r="E100" s="4" t="n">
        <v>44.6</v>
      </c>
      <c r="F100" s="4" t="n">
        <v>8.6</v>
      </c>
      <c r="G100" s="4" t="inlineStr">
        <is>
          <t>over shower, east wall</t>
        </is>
      </c>
    </row>
    <row r="101">
      <c r="A101" s="4" t="inlineStr">
        <is>
          <t>PC</t>
        </is>
      </c>
      <c r="B101" s="4" t="inlineStr">
        <is>
          <t>6 A socket at counter</t>
        </is>
      </c>
      <c r="C101" s="4" t="inlineStr">
        <is>
          <t>3'-6"</t>
        </is>
      </c>
      <c r="D101" s="4" t="inlineStr">
        <is>
          <t>Upper master bath</t>
        </is>
      </c>
      <c r="E101" s="4" t="n">
        <v>44.6</v>
      </c>
      <c r="F101" s="4" t="n">
        <v>6.6</v>
      </c>
      <c r="G101" s="4" t="inlineStr">
        <is>
          <t>by basin</t>
        </is>
      </c>
    </row>
    <row r="102">
      <c r="A102" s="4" t="inlineStr">
        <is>
          <t>S</t>
        </is>
      </c>
      <c r="B102" s="4" t="inlineStr">
        <is>
          <t>Switchboard</t>
        </is>
      </c>
      <c r="C102" s="4" t="inlineStr">
        <is>
          <t>4'-0"</t>
        </is>
      </c>
      <c r="D102" s="4" t="inlineStr">
        <is>
          <t>Dressing</t>
        </is>
      </c>
      <c r="E102" s="4" t="n">
        <v>40.1</v>
      </c>
      <c r="F102" s="4" t="n">
        <v>6.4</v>
      </c>
      <c r="G102" s="4" t="inlineStr">
        <is>
          <t>bath switches outside the door</t>
        </is>
      </c>
    </row>
    <row r="103">
      <c r="A103" s="4" t="inlineStr">
        <is>
          <t>L</t>
        </is>
      </c>
      <c r="B103" s="4" t="inlineStr">
        <is>
          <t>Ceiling light</t>
        </is>
      </c>
      <c r="C103" s="4" t="inlineStr">
        <is>
          <t>ceiling</t>
        </is>
      </c>
      <c r="D103" s="4" t="inlineStr">
        <is>
          <t>Landing</t>
        </is>
      </c>
      <c r="E103" s="4" t="n">
        <v>40</v>
      </c>
      <c r="F103" s="4" t="n">
        <v>12</v>
      </c>
      <c r="G103" s="4" t="inlineStr"/>
    </row>
    <row r="104">
      <c r="A104" s="4" t="inlineStr">
        <is>
          <t>S</t>
        </is>
      </c>
      <c r="B104" s="4" t="inlineStr">
        <is>
          <t>Switchboard</t>
        </is>
      </c>
      <c r="C104" s="4" t="inlineStr">
        <is>
          <t>4'-0"</t>
        </is>
      </c>
      <c r="D104" s="4" t="inlineStr">
        <is>
          <t>Landing</t>
        </is>
      </c>
      <c r="E104" s="4" t="n">
        <v>36</v>
      </c>
      <c r="F104" s="4" t="n">
        <v>10.4</v>
      </c>
      <c r="G104" s="4" t="inlineStr">
        <is>
          <t>landing and stair, 2-way with the lobby</t>
        </is>
      </c>
    </row>
    <row r="105">
      <c r="A105" s="4" t="inlineStr">
        <is>
          <t>L</t>
        </is>
      </c>
      <c r="B105" s="4" t="inlineStr">
        <is>
          <t>Ceiling light</t>
        </is>
      </c>
      <c r="C105" s="4" t="inlineStr">
        <is>
          <t>ceiling</t>
        </is>
      </c>
      <c r="D105" s="4" t="inlineStr">
        <is>
          <t>Upper passage</t>
        </is>
      </c>
      <c r="E105" s="4" t="n">
        <v>36.25</v>
      </c>
      <c r="F105" s="4" t="n">
        <v>19.5</v>
      </c>
      <c r="G105" s="4" t="inlineStr"/>
    </row>
    <row r="106">
      <c r="A106" s="4" t="inlineStr">
        <is>
          <t>WL</t>
        </is>
      </c>
      <c r="B106" s="4" t="inlineStr">
        <is>
          <t>Wall light / mirror light</t>
        </is>
      </c>
      <c r="C106" s="4" t="inlineStr">
        <is>
          <t>6'-6"</t>
        </is>
      </c>
      <c r="D106" s="4" t="inlineStr">
        <is>
          <t>Upper passage</t>
        </is>
      </c>
      <c r="E106" s="4" t="n">
        <v>36.25</v>
      </c>
      <c r="F106" s="4" t="n">
        <v>24.6</v>
      </c>
      <c r="G106" s="4" t="inlineStr">
        <is>
          <t>reading light over the bookshelf</t>
        </is>
      </c>
    </row>
    <row r="107">
      <c r="A107" s="4" t="inlineStr">
        <is>
          <t>F</t>
        </is>
      </c>
      <c r="B107" s="4" t="inlineStr">
        <is>
          <t>Ceiling fan point</t>
        </is>
      </c>
      <c r="C107" s="4" t="inlineStr">
        <is>
          <t>ceiling</t>
        </is>
      </c>
      <c r="D107" s="4" t="inlineStr">
        <is>
          <t>Outdoor lounge (covered)</t>
        </is>
      </c>
      <c r="E107" s="4" t="n">
        <v>29</v>
      </c>
      <c r="F107" s="4" t="n">
        <v>20.5</v>
      </c>
      <c r="G107" s="4" t="inlineStr">
        <is>
          <t>wet-rated, under the roof</t>
        </is>
      </c>
    </row>
    <row r="108">
      <c r="A108" s="4" t="inlineStr">
        <is>
          <t>L</t>
        </is>
      </c>
      <c r="B108" s="4" t="inlineStr">
        <is>
          <t>Ceiling light</t>
        </is>
      </c>
      <c r="C108" s="4" t="inlineStr">
        <is>
          <t>ceiling</t>
        </is>
      </c>
      <c r="D108" s="4" t="inlineStr">
        <is>
          <t>Outdoor lounge (covered)</t>
        </is>
      </c>
      <c r="E108" s="4" t="n">
        <v>26</v>
      </c>
      <c r="F108" s="4" t="n">
        <v>18.5</v>
      </c>
      <c r="G108" s="4" t="inlineStr">
        <is>
          <t>wet-rated</t>
        </is>
      </c>
    </row>
    <row r="109">
      <c r="A109" s="4" t="inlineStr">
        <is>
          <t>L</t>
        </is>
      </c>
      <c r="B109" s="4" t="inlineStr">
        <is>
          <t>Ceiling light</t>
        </is>
      </c>
      <c r="C109" s="4" t="inlineStr">
        <is>
          <t>ceiling</t>
        </is>
      </c>
      <c r="D109" s="4" t="inlineStr">
        <is>
          <t>Outdoor lounge (covered)</t>
        </is>
      </c>
      <c r="E109" s="4" t="n">
        <v>32</v>
      </c>
      <c r="F109" s="4" t="n">
        <v>23</v>
      </c>
      <c r="G109" s="4" t="inlineStr">
        <is>
          <t>wet-rated</t>
        </is>
      </c>
    </row>
    <row r="110">
      <c r="A110" s="4" t="inlineStr">
        <is>
          <t>P</t>
        </is>
      </c>
      <c r="B110" s="4" t="inlineStr">
        <is>
          <t>6 A socket</t>
        </is>
      </c>
      <c r="C110" s="4" t="inlineStr">
        <is>
          <t>1'-0"</t>
        </is>
      </c>
      <c r="D110" s="4" t="inlineStr">
        <is>
          <t>Outdoor lounge (covered)</t>
        </is>
      </c>
      <c r="E110" s="4" t="n">
        <v>34.6</v>
      </c>
      <c r="F110" s="4" t="n">
        <v>21</v>
      </c>
      <c r="G110" s="4" t="inlineStr">
        <is>
          <t>weatherproof</t>
        </is>
      </c>
    </row>
    <row r="111">
      <c r="A111" s="4" t="inlineStr">
        <is>
          <t>S</t>
        </is>
      </c>
      <c r="B111" s="4" t="inlineStr">
        <is>
          <t>Switchboard</t>
        </is>
      </c>
      <c r="C111" s="4" t="inlineStr">
        <is>
          <t>4'-0"</t>
        </is>
      </c>
      <c r="D111" s="4" t="inlineStr">
        <is>
          <t>Upper passage</t>
        </is>
      </c>
      <c r="E111" s="4" t="n">
        <v>35.4</v>
      </c>
      <c r="F111" s="4" t="n">
        <v>19.4</v>
      </c>
      <c r="G111" s="4" t="inlineStr">
        <is>
          <t>lounge switches by the door</t>
        </is>
      </c>
    </row>
    <row r="112">
      <c r="A112" s="4" t="inlineStr">
        <is>
          <t>F</t>
        </is>
      </c>
      <c r="B112" s="4" t="inlineStr">
        <is>
          <t>Ceiling fan point</t>
        </is>
      </c>
      <c r="C112" s="4" t="inlineStr">
        <is>
          <t>ceiling</t>
        </is>
      </c>
      <c r="D112" s="4" t="inlineStr">
        <is>
          <t>Covered terrace</t>
        </is>
      </c>
      <c r="E112" s="4" t="n">
        <v>51</v>
      </c>
      <c r="F112" s="4" t="n">
        <v>19</v>
      </c>
      <c r="G112" s="4" t="inlineStr">
        <is>
          <t>wet-rated, hung from the steel truss</t>
        </is>
      </c>
    </row>
    <row r="113">
      <c r="A113" s="4" t="inlineStr">
        <is>
          <t>L</t>
        </is>
      </c>
      <c r="B113" s="4" t="inlineStr">
        <is>
          <t>Ceiling light</t>
        </is>
      </c>
      <c r="C113" s="4" t="inlineStr">
        <is>
          <t>ceiling</t>
        </is>
      </c>
      <c r="D113" s="4" t="inlineStr">
        <is>
          <t>Covered terrace</t>
        </is>
      </c>
      <c r="E113" s="4" t="n">
        <v>49</v>
      </c>
      <c r="F113" s="4" t="n">
        <v>9</v>
      </c>
      <c r="G113" s="4" t="inlineStr">
        <is>
          <t>wet-rated</t>
        </is>
      </c>
    </row>
    <row r="114">
      <c r="A114" s="4" t="inlineStr">
        <is>
          <t>L</t>
        </is>
      </c>
      <c r="B114" s="4" t="inlineStr">
        <is>
          <t>Ceiling light</t>
        </is>
      </c>
      <c r="C114" s="4" t="inlineStr">
        <is>
          <t>ceiling</t>
        </is>
      </c>
      <c r="D114" s="4" t="inlineStr">
        <is>
          <t>Covered terrace</t>
        </is>
      </c>
      <c r="E114" s="4" t="n">
        <v>56</v>
      </c>
      <c r="F114" s="4" t="n">
        <v>9</v>
      </c>
      <c r="G114" s="4" t="inlineStr">
        <is>
          <t>wet-rated</t>
        </is>
      </c>
    </row>
    <row r="115">
      <c r="A115" s="4" t="inlineStr">
        <is>
          <t>L</t>
        </is>
      </c>
      <c r="B115" s="4" t="inlineStr">
        <is>
          <t>Ceiling light</t>
        </is>
      </c>
      <c r="C115" s="4" t="inlineStr">
        <is>
          <t>ceiling</t>
        </is>
      </c>
      <c r="D115" s="4" t="inlineStr">
        <is>
          <t>Covered terrace</t>
        </is>
      </c>
      <c r="E115" s="4" t="n">
        <v>56</v>
      </c>
      <c r="F115" s="4" t="n">
        <v>21</v>
      </c>
      <c r="G115" s="4" t="inlineStr">
        <is>
          <t>wet-rated</t>
        </is>
      </c>
    </row>
    <row r="116">
      <c r="A116" s="4" t="inlineStr">
        <is>
          <t>P</t>
        </is>
      </c>
      <c r="B116" s="4" t="inlineStr">
        <is>
          <t>6 A socket</t>
        </is>
      </c>
      <c r="C116" s="4" t="inlineStr">
        <is>
          <t>1'-0"</t>
        </is>
      </c>
      <c r="D116" s="4" t="inlineStr">
        <is>
          <t>Covered terrace</t>
        </is>
      </c>
      <c r="E116" s="4" t="n">
        <v>45.4</v>
      </c>
      <c r="F116" s="4" t="n">
        <v>15.2</v>
      </c>
      <c r="G116" s="4" t="inlineStr">
        <is>
          <t>weatherproof</t>
        </is>
      </c>
    </row>
    <row r="117">
      <c r="A117" s="4" t="inlineStr">
        <is>
          <t>P</t>
        </is>
      </c>
      <c r="B117" s="4" t="inlineStr">
        <is>
          <t>6 A socket</t>
        </is>
      </c>
      <c r="C117" s="4" t="inlineStr">
        <is>
          <t>1'-0"</t>
        </is>
      </c>
      <c r="D117" s="4" t="inlineStr">
        <is>
          <t>Covered terrace</t>
        </is>
      </c>
      <c r="E117" s="4" t="n">
        <v>45.4</v>
      </c>
      <c r="F117" s="4" t="n">
        <v>5</v>
      </c>
      <c r="G117" s="4" t="inlineStr">
        <is>
          <t>weatherproof</t>
        </is>
      </c>
    </row>
    <row r="118">
      <c r="A118" s="4" t="inlineStr">
        <is>
          <t>S</t>
        </is>
      </c>
      <c r="B118" s="4" t="inlineStr">
        <is>
          <t>Switchboard</t>
        </is>
      </c>
      <c r="C118" s="4" t="inlineStr">
        <is>
          <t>4'-0"</t>
        </is>
      </c>
      <c r="D118" s="4" t="inlineStr">
        <is>
          <t>Landing</t>
        </is>
      </c>
      <c r="E118" s="4" t="n">
        <v>44.6</v>
      </c>
      <c r="F118" s="4" t="n">
        <v>14</v>
      </c>
      <c r="G118" s="4" t="inlineStr">
        <is>
          <t>terrace switches by the door, landing side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38"/>
  <sheetViews>
    <sheetView workbookViewId="0">
      <pane ySplit="1" topLeftCell="A2" activePane="bottomLeft" state="frozen"/>
      <selection pane="bottomLeft" activeCell="A1" sqref="A1"/>
    </sheetView>
  </sheetViews>
  <sheetFormatPr baseColWidth="8" defaultRowHeight="15"/>
  <cols>
    <col width="7" customWidth="1" min="1" max="1"/>
    <col width="34" customWidth="1" min="2" max="2"/>
    <col width="22" customWidth="1" min="3" max="3"/>
    <col width="8" customWidth="1" min="4" max="4"/>
    <col width="8" customWidth="1" min="5" max="5"/>
    <col width="40" customWidth="1" min="6" max="6"/>
  </cols>
  <sheetData>
    <row r="1" ht="30" customHeight="1">
      <c r="A1" s="3" t="inlineStr">
        <is>
          <t>Code</t>
        </is>
      </c>
      <c r="B1" s="3" t="inlineStr">
        <is>
          <t>Item</t>
        </is>
      </c>
      <c r="C1" s="3" t="inlineStr">
        <is>
          <t>Room</t>
        </is>
      </c>
      <c r="D1" s="3" t="inlineStr">
        <is>
          <t>X (ft)</t>
        </is>
      </c>
      <c r="E1" s="3" t="inlineStr">
        <is>
          <t>Y (ft)</t>
        </is>
      </c>
      <c r="F1" s="3" t="inlineStr">
        <is>
          <t>Note</t>
        </is>
      </c>
    </row>
    <row r="2">
      <c r="A2" s="4" t="inlineStr">
        <is>
          <t>WC</t>
        </is>
      </c>
      <c r="B2" s="4" t="inlineStr">
        <is>
          <t>Wall-hung WC, concealed cistern</t>
        </is>
      </c>
      <c r="C2" s="4" t="inlineStr">
        <is>
          <t>Master bath</t>
        </is>
      </c>
      <c r="D2" s="4" t="n">
        <v>39.4</v>
      </c>
      <c r="E2" s="4" t="n">
        <v>4.9</v>
      </c>
      <c r="F2" s="4" t="inlineStr">
        <is>
          <t>on the wet wall shared with the common bath</t>
        </is>
      </c>
    </row>
    <row r="3">
      <c r="A3" s="4" t="inlineStr">
        <is>
          <t>HF</t>
        </is>
      </c>
      <c r="B3" s="4" t="inlineStr">
        <is>
          <t>Health faucet</t>
        </is>
      </c>
      <c r="C3" s="4" t="inlineStr">
        <is>
          <t>Master bath</t>
        </is>
      </c>
      <c r="D3" s="4" t="n">
        <v>40.2</v>
      </c>
      <c r="E3" s="4" t="n">
        <v>5.7</v>
      </c>
      <c r="F3" s="4" t="inlineStr"/>
    </row>
    <row r="4">
      <c r="A4" s="4" t="inlineStr">
        <is>
          <t>BS</t>
        </is>
      </c>
      <c r="B4" s="4" t="inlineStr">
        <is>
          <t>Wash basin</t>
        </is>
      </c>
      <c r="C4" s="4" t="inlineStr">
        <is>
          <t>Master bath</t>
        </is>
      </c>
      <c r="D4" s="4" t="n">
        <v>37</v>
      </c>
      <c r="E4" s="4" t="n">
        <v>9.6</v>
      </c>
      <c r="F4" s="4" t="inlineStr">
        <is>
          <t>on the lobby wall</t>
        </is>
      </c>
    </row>
    <row r="5">
      <c r="A5" s="4" t="inlineStr">
        <is>
          <t>SH</t>
        </is>
      </c>
      <c r="B5" s="4" t="inlineStr">
        <is>
          <t>Shower mixer (hot + cold)</t>
        </is>
      </c>
      <c r="C5" s="4" t="inlineStr">
        <is>
          <t>Master bath</t>
        </is>
      </c>
      <c r="D5" s="4" t="n">
        <v>35.4</v>
      </c>
      <c r="E5" s="4" t="n">
        <v>4.4</v>
      </c>
      <c r="F5" s="4" t="inlineStr">
        <is>
          <t>west wall</t>
        </is>
      </c>
    </row>
    <row r="6">
      <c r="A6" s="4" t="inlineStr">
        <is>
          <t>FT</t>
        </is>
      </c>
      <c r="B6" s="4" t="inlineStr">
        <is>
          <t>Floor trap / linear drain</t>
        </is>
      </c>
      <c r="C6" s="4" t="inlineStr">
        <is>
          <t>Master bath</t>
        </is>
      </c>
      <c r="D6" s="4" t="n">
        <v>36.4</v>
      </c>
      <c r="E6" s="4" t="n">
        <v>3.6</v>
      </c>
      <c r="F6" s="4" t="inlineStr">
        <is>
          <t>shower drain</t>
        </is>
      </c>
    </row>
    <row r="7">
      <c r="A7" s="4" t="inlineStr">
        <is>
          <t>FT</t>
        </is>
      </c>
      <c r="B7" s="4" t="inlineStr">
        <is>
          <t>Floor trap / linear drain</t>
        </is>
      </c>
      <c r="C7" s="4" t="inlineStr">
        <is>
          <t>Master bath</t>
        </is>
      </c>
      <c r="D7" s="4" t="n">
        <v>37.8</v>
      </c>
      <c r="E7" s="4" t="n">
        <v>7.4</v>
      </c>
      <c r="F7" s="4" t="inlineStr">
        <is>
          <t>dry zone trap</t>
        </is>
      </c>
    </row>
    <row r="8">
      <c r="A8" s="4" t="inlineStr">
        <is>
          <t>WC</t>
        </is>
      </c>
      <c r="B8" s="4" t="inlineStr">
        <is>
          <t>Wall-hung WC, concealed cistern</t>
        </is>
      </c>
      <c r="C8" s="4" t="inlineStr">
        <is>
          <t>Common bath</t>
        </is>
      </c>
      <c r="D8" s="4" t="n">
        <v>41.6</v>
      </c>
      <c r="E8" s="4" t="n">
        <v>6.2</v>
      </c>
      <c r="F8" s="4" t="inlineStr">
        <is>
          <t>back to back with the master WC</t>
        </is>
      </c>
    </row>
    <row r="9">
      <c r="A9" s="4" t="inlineStr">
        <is>
          <t>HF</t>
        </is>
      </c>
      <c r="B9" s="4" t="inlineStr">
        <is>
          <t>Health faucet</t>
        </is>
      </c>
      <c r="C9" s="4" t="inlineStr">
        <is>
          <t>Common bath</t>
        </is>
      </c>
      <c r="D9" s="4" t="n">
        <v>40.8</v>
      </c>
      <c r="E9" s="4" t="n">
        <v>6.9</v>
      </c>
      <c r="F9" s="4" t="inlineStr"/>
    </row>
    <row r="10">
      <c r="A10" s="4" t="inlineStr">
        <is>
          <t>BS</t>
        </is>
      </c>
      <c r="B10" s="4" t="inlineStr">
        <is>
          <t>Wash basin</t>
        </is>
      </c>
      <c r="C10" s="4" t="inlineStr">
        <is>
          <t>Common bath</t>
        </is>
      </c>
      <c r="D10" s="4" t="n">
        <v>44.6</v>
      </c>
      <c r="E10" s="4" t="n">
        <v>8</v>
      </c>
      <c r="F10" s="4" t="inlineStr">
        <is>
          <t>on 7 in wet wall</t>
        </is>
      </c>
    </row>
    <row r="11">
      <c r="A11" s="4" t="inlineStr">
        <is>
          <t>SH</t>
        </is>
      </c>
      <c r="B11" s="4" t="inlineStr">
        <is>
          <t>Shower mixer (hot + cold)</t>
        </is>
      </c>
      <c r="C11" s="4" t="inlineStr">
        <is>
          <t>Common bath</t>
        </is>
      </c>
      <c r="D11" s="4" t="n">
        <v>44.6</v>
      </c>
      <c r="E11" s="4" t="n">
        <v>4.2</v>
      </c>
      <c r="F11" s="4" t="inlineStr">
        <is>
          <t>east wall</t>
        </is>
      </c>
    </row>
    <row r="12">
      <c r="A12" s="4" t="inlineStr">
        <is>
          <t>FT</t>
        </is>
      </c>
      <c r="B12" s="4" t="inlineStr">
        <is>
          <t>Floor trap / linear drain</t>
        </is>
      </c>
      <c r="C12" s="4" t="inlineStr">
        <is>
          <t>Common bath</t>
        </is>
      </c>
      <c r="D12" s="4" t="n">
        <v>43.7</v>
      </c>
      <c r="E12" s="4" t="n">
        <v>3.6</v>
      </c>
      <c r="F12" s="4" t="inlineStr">
        <is>
          <t>shower drain</t>
        </is>
      </c>
    </row>
    <row r="13">
      <c r="A13" s="4" t="inlineStr">
        <is>
          <t>FT</t>
        </is>
      </c>
      <c r="B13" s="4" t="inlineStr">
        <is>
          <t>Floor trap / linear drain</t>
        </is>
      </c>
      <c r="C13" s="4" t="inlineStr">
        <is>
          <t>Common bath</t>
        </is>
      </c>
      <c r="D13" s="4" t="n">
        <v>42.5</v>
      </c>
      <c r="E13" s="4" t="n">
        <v>8.4</v>
      </c>
      <c r="F13" s="4" t="inlineStr">
        <is>
          <t>dry zone trap</t>
        </is>
      </c>
    </row>
    <row r="14">
      <c r="A14" s="4" t="inlineStr">
        <is>
          <t>SK</t>
        </is>
      </c>
      <c r="B14" s="4" t="inlineStr">
        <is>
          <t>Sink</t>
        </is>
      </c>
      <c r="C14" s="4" t="inlineStr">
        <is>
          <t>Wet area</t>
        </is>
      </c>
      <c r="D14" s="4" t="n">
        <v>53.75</v>
      </c>
      <c r="E14" s="4" t="n">
        <v>4.3</v>
      </c>
      <c r="F14" s="4" t="inlineStr">
        <is>
          <t>utility sink</t>
        </is>
      </c>
    </row>
    <row r="15">
      <c r="A15" s="4" t="inlineStr">
        <is>
          <t>WM</t>
        </is>
      </c>
      <c r="B15" s="4" t="inlineStr">
        <is>
          <t>Washing-machine inlet + drain</t>
        </is>
      </c>
      <c r="C15" s="4" t="inlineStr">
        <is>
          <t>Wet area</t>
        </is>
      </c>
      <c r="D15" s="4" t="n">
        <v>50.25</v>
      </c>
      <c r="E15" s="4" t="n">
        <v>6.4</v>
      </c>
      <c r="F15" s="4" t="inlineStr"/>
    </row>
    <row r="16">
      <c r="A16" s="4" t="inlineStr">
        <is>
          <t>FT</t>
        </is>
      </c>
      <c r="B16" s="4" t="inlineStr">
        <is>
          <t>Floor trap / linear drain</t>
        </is>
      </c>
      <c r="C16" s="4" t="inlineStr">
        <is>
          <t>Wet area</t>
        </is>
      </c>
      <c r="D16" s="4" t="n">
        <v>51.5</v>
      </c>
      <c r="E16" s="4" t="n">
        <v>3.6</v>
      </c>
      <c r="F16" s="4" t="inlineStr">
        <is>
          <t>floor falls to the trap</t>
        </is>
      </c>
    </row>
    <row r="17">
      <c r="A17" s="4" t="inlineStr">
        <is>
          <t>TAP</t>
        </is>
      </c>
      <c r="B17" s="4" t="inlineStr">
        <is>
          <t>Tap</t>
        </is>
      </c>
      <c r="C17" s="4" t="inlineStr">
        <is>
          <t>Wet area</t>
        </is>
      </c>
      <c r="D17" s="4" t="n">
        <v>54.6</v>
      </c>
      <c r="E17" s="4" t="n">
        <v>3.4</v>
      </c>
      <c r="F17" s="4" t="inlineStr">
        <is>
          <t>bucket tap, low</t>
        </is>
      </c>
    </row>
    <row r="18">
      <c r="A18" s="4" t="inlineStr">
        <is>
          <t>SK</t>
        </is>
      </c>
      <c r="B18" s="4" t="inlineStr">
        <is>
          <t>Sink</t>
        </is>
      </c>
      <c r="C18" s="4" t="inlineStr">
        <is>
          <t>Kitchen</t>
        </is>
      </c>
      <c r="D18" s="4" t="n">
        <v>61.5</v>
      </c>
      <c r="E18" s="4" t="n">
        <v>3.5</v>
      </c>
      <c r="F18" s="4" t="inlineStr">
        <is>
          <t>single bowl + drainboard, under window</t>
        </is>
      </c>
    </row>
    <row r="19">
      <c r="A19" s="4" t="inlineStr">
        <is>
          <t>RO</t>
        </is>
      </c>
      <c r="B19" s="4" t="inlineStr">
        <is>
          <t>RO purifier point</t>
        </is>
      </c>
      <c r="C19" s="4" t="inlineStr">
        <is>
          <t>Kitchen</t>
        </is>
      </c>
      <c r="D19" s="4" t="n">
        <v>60.2</v>
      </c>
      <c r="E19" s="4" t="n">
        <v>3.5</v>
      </c>
      <c r="F19" s="4" t="inlineStr"/>
    </row>
    <row r="20">
      <c r="A20" s="4" t="inlineStr">
        <is>
          <t>FT</t>
        </is>
      </c>
      <c r="B20" s="4" t="inlineStr">
        <is>
          <t>Floor trap / linear drain</t>
        </is>
      </c>
      <c r="C20" s="4" t="inlineStr">
        <is>
          <t>Kitchen</t>
        </is>
      </c>
      <c r="D20" s="4" t="n">
        <v>63</v>
      </c>
      <c r="E20" s="4" t="n">
        <v>12</v>
      </c>
      <c r="F20" s="4" t="inlineStr">
        <is>
          <t>cleaning trap</t>
        </is>
      </c>
    </row>
    <row r="21">
      <c r="A21" s="4" t="inlineStr">
        <is>
          <t>TAP</t>
        </is>
      </c>
      <c r="B21" s="4" t="inlineStr">
        <is>
          <t>Tap</t>
        </is>
      </c>
      <c r="C21" s="4" t="inlineStr">
        <is>
          <t>Site</t>
        </is>
      </c>
      <c r="D21" s="4" t="n">
        <v>69.59999999999999</v>
      </c>
      <c r="E21" s="4" t="n">
        <v>13.6</v>
      </c>
      <c r="F21" s="4" t="inlineStr">
        <is>
          <t>foot-wash tap at steps</t>
        </is>
      </c>
    </row>
    <row r="22">
      <c r="A22" s="4" t="inlineStr">
        <is>
          <t>TAP</t>
        </is>
      </c>
      <c r="B22" s="4" t="inlineStr">
        <is>
          <t>Tap</t>
        </is>
      </c>
      <c r="C22" s="4" t="inlineStr">
        <is>
          <t>Site</t>
        </is>
      </c>
      <c r="D22" s="4" t="n">
        <v>18</v>
      </c>
      <c r="E22" s="4" t="n">
        <v>10</v>
      </c>
      <c r="F22" s="4" t="inlineStr">
        <is>
          <t>kitchen garden tap (spare land)</t>
        </is>
      </c>
    </row>
    <row r="23">
      <c r="A23" s="4" t="inlineStr">
        <is>
          <t>TAP</t>
        </is>
      </c>
      <c r="B23" s="4" t="inlineStr">
        <is>
          <t>Tap</t>
        </is>
      </c>
      <c r="C23" s="4" t="inlineStr">
        <is>
          <t>Site</t>
        </is>
      </c>
      <c r="D23" s="4" t="n">
        <v>74</v>
      </c>
      <c r="E23" s="4" t="n">
        <v>21.6</v>
      </c>
      <c r="F23" s="4" t="inlineStr">
        <is>
          <t>tulsi / garden tap</t>
        </is>
      </c>
    </row>
    <row r="24">
      <c r="A24" s="4" t="inlineStr">
        <is>
          <t>IC</t>
        </is>
      </c>
      <c r="B24" s="4" t="inlineStr">
        <is>
          <t>Inspection chamber</t>
        </is>
      </c>
      <c r="C24" s="4" t="inlineStr">
        <is>
          <t>Site</t>
        </is>
      </c>
      <c r="D24" s="4" t="n">
        <v>40.5</v>
      </c>
      <c r="E24" s="4" t="n">
        <v>1.8</v>
      </c>
      <c r="F24" s="4" t="inlineStr">
        <is>
          <t>IC-1 soil, ground baths</t>
        </is>
      </c>
    </row>
    <row r="25">
      <c r="A25" s="4" t="inlineStr">
        <is>
          <t>IC</t>
        </is>
      </c>
      <c r="B25" s="4" t="inlineStr">
        <is>
          <t>Inspection chamber</t>
        </is>
      </c>
      <c r="C25" s="4" t="inlineStr">
        <is>
          <t>Site</t>
        </is>
      </c>
      <c r="D25" s="4" t="n">
        <v>45</v>
      </c>
      <c r="E25" s="4" t="n">
        <v>1.8</v>
      </c>
      <c r="F25" s="4" t="inlineStr">
        <is>
          <t>IC-2 soil, upper WC stack</t>
        </is>
      </c>
    </row>
    <row r="26">
      <c r="A26" s="4" t="inlineStr">
        <is>
          <t>IC</t>
        </is>
      </c>
      <c r="B26" s="4" t="inlineStr">
        <is>
          <t>Inspection chamber</t>
        </is>
      </c>
      <c r="C26" s="4" t="inlineStr">
        <is>
          <t>Site</t>
        </is>
      </c>
      <c r="D26" s="4" t="n">
        <v>21.6</v>
      </c>
      <c r="E26" s="4" t="n">
        <v>1.8</v>
      </c>
      <c r="F26" s="4" t="inlineStr">
        <is>
          <t>IC-3 soil bend at the 55 ft line</t>
        </is>
      </c>
    </row>
    <row r="27">
      <c r="A27" s="4" t="inlineStr">
        <is>
          <t>GT</t>
        </is>
      </c>
      <c r="B27" s="4" t="inlineStr">
        <is>
          <t>Grease trap</t>
        </is>
      </c>
      <c r="C27" s="4" t="inlineStr">
        <is>
          <t>Site</t>
        </is>
      </c>
      <c r="D27" s="4" t="n">
        <v>61.5</v>
      </c>
      <c r="E27" s="4" t="n">
        <v>1</v>
      </c>
      <c r="F27" s="4" t="inlineStr">
        <is>
          <t>grease trap</t>
        </is>
      </c>
    </row>
    <row r="28">
      <c r="A28" s="4" t="inlineStr">
        <is>
          <t>IC</t>
        </is>
      </c>
      <c r="B28" s="4" t="inlineStr">
        <is>
          <t>Inspection chamber</t>
        </is>
      </c>
      <c r="C28" s="4" t="inlineStr">
        <is>
          <t>Site</t>
        </is>
      </c>
      <c r="D28" s="4" t="n">
        <v>51.5</v>
      </c>
      <c r="E28" s="4" t="n">
        <v>1</v>
      </c>
      <c r="F28" s="4" t="inlineStr">
        <is>
          <t>IC-4 grey</t>
        </is>
      </c>
    </row>
    <row r="29">
      <c r="A29" s="4" t="inlineStr">
        <is>
          <t>IC</t>
        </is>
      </c>
      <c r="B29" s="4" t="inlineStr">
        <is>
          <t>Inspection chamber</t>
        </is>
      </c>
      <c r="C29" s="4" t="inlineStr">
        <is>
          <t>Site</t>
        </is>
      </c>
      <c r="D29" s="4" t="n">
        <v>43.7</v>
      </c>
      <c r="E29" s="4" t="n">
        <v>1</v>
      </c>
      <c r="F29" s="4" t="inlineStr">
        <is>
          <t>IC-5 grey</t>
        </is>
      </c>
    </row>
    <row r="30">
      <c r="A30" s="4" t="inlineStr">
        <is>
          <t>IC</t>
        </is>
      </c>
      <c r="B30" s="4" t="inlineStr">
        <is>
          <t>Inspection chamber</t>
        </is>
      </c>
      <c r="C30" s="4" t="inlineStr">
        <is>
          <t>Site</t>
        </is>
      </c>
      <c r="D30" s="4" t="n">
        <v>21</v>
      </c>
      <c r="E30" s="4" t="n">
        <v>1</v>
      </c>
      <c r="F30" s="4" t="inlineStr">
        <is>
          <t>IC-6 grey, to the soak pit</t>
        </is>
      </c>
    </row>
    <row r="31">
      <c r="A31" s="4" t="inlineStr">
        <is>
          <t>WC</t>
        </is>
      </c>
      <c r="B31" s="4" t="inlineStr">
        <is>
          <t>Wall-hung WC, concealed cistern</t>
        </is>
      </c>
      <c r="C31" s="4" t="inlineStr">
        <is>
          <t>Upper master bath</t>
        </is>
      </c>
      <c r="D31" s="4" t="n">
        <v>43.9</v>
      </c>
      <c r="E31" s="4" t="n">
        <v>4.6</v>
      </c>
      <c r="F31" s="4" t="inlineStr">
        <is>
          <t>on the east wall; stack down the store wall</t>
        </is>
      </c>
    </row>
    <row r="32">
      <c r="A32" s="4" t="inlineStr">
        <is>
          <t>HF</t>
        </is>
      </c>
      <c r="B32" s="4" t="inlineStr">
        <is>
          <t>Health faucet</t>
        </is>
      </c>
      <c r="C32" s="4" t="inlineStr">
        <is>
          <t>Upper master bath</t>
        </is>
      </c>
      <c r="D32" s="4" t="n">
        <v>44.6</v>
      </c>
      <c r="E32" s="4" t="n">
        <v>5.4</v>
      </c>
      <c r="F32" s="4" t="inlineStr"/>
    </row>
    <row r="33">
      <c r="A33" s="4" t="inlineStr">
        <is>
          <t>BS</t>
        </is>
      </c>
      <c r="B33" s="4" t="inlineStr">
        <is>
          <t>Wash basin</t>
        </is>
      </c>
      <c r="C33" s="4" t="inlineStr">
        <is>
          <t>Upper master bath</t>
        </is>
      </c>
      <c r="D33" s="4" t="n">
        <v>44.6</v>
      </c>
      <c r="E33" s="4" t="n">
        <v>6.4</v>
      </c>
      <c r="F33" s="4" t="inlineStr"/>
    </row>
    <row r="34">
      <c r="A34" s="4" t="inlineStr">
        <is>
          <t>SH</t>
        </is>
      </c>
      <c r="B34" s="4" t="inlineStr">
        <is>
          <t>Shower mixer (hot + cold)</t>
        </is>
      </c>
      <c r="C34" s="4" t="inlineStr">
        <is>
          <t>Upper master bath</t>
        </is>
      </c>
      <c r="D34" s="4" t="n">
        <v>44.6</v>
      </c>
      <c r="E34" s="4" t="n">
        <v>8.800000000000001</v>
      </c>
      <c r="F34" s="4" t="inlineStr">
        <is>
          <t>east wall</t>
        </is>
      </c>
    </row>
    <row r="35">
      <c r="A35" s="4" t="inlineStr">
        <is>
          <t>FT</t>
        </is>
      </c>
      <c r="B35" s="4" t="inlineStr">
        <is>
          <t>Floor trap / linear drain</t>
        </is>
      </c>
      <c r="C35" s="4" t="inlineStr">
        <is>
          <t>Upper master bath</t>
        </is>
      </c>
      <c r="D35" s="4" t="n">
        <v>42</v>
      </c>
      <c r="E35" s="4" t="n">
        <v>9.4</v>
      </c>
      <c r="F35" s="4" t="inlineStr">
        <is>
          <t>linear drain along the north wall</t>
        </is>
      </c>
    </row>
    <row r="36">
      <c r="A36" s="4" t="inlineStr">
        <is>
          <t>FT</t>
        </is>
      </c>
      <c r="B36" s="4" t="inlineStr">
        <is>
          <t>Floor trap / linear drain</t>
        </is>
      </c>
      <c r="C36" s="4" t="inlineStr">
        <is>
          <t>Upper master bath</t>
        </is>
      </c>
      <c r="D36" s="4" t="n">
        <v>42.5</v>
      </c>
      <c r="E36" s="4" t="n">
        <v>6</v>
      </c>
      <c r="F36" s="4" t="inlineStr">
        <is>
          <t>dry zone trap</t>
        </is>
      </c>
    </row>
    <row r="37">
      <c r="A37" s="4" t="inlineStr">
        <is>
          <t>FT</t>
        </is>
      </c>
      <c r="B37" s="4" t="inlineStr">
        <is>
          <t>Floor trap / linear drain</t>
        </is>
      </c>
      <c r="C37" s="4" t="inlineStr">
        <is>
          <t>Covered terrace</t>
        </is>
      </c>
      <c r="D37" s="4" t="n">
        <v>60.4</v>
      </c>
      <c r="E37" s="4" t="n">
        <v>3.6</v>
      </c>
      <c r="F37" s="4" t="inlineStr">
        <is>
          <t>terrace drain, to a downpipe at the south-east corner</t>
        </is>
      </c>
    </row>
    <row r="38">
      <c r="A38" s="4" t="inlineStr">
        <is>
          <t>TAP</t>
        </is>
      </c>
      <c r="B38" s="4" t="inlineStr">
        <is>
          <t>Tap</t>
        </is>
      </c>
      <c r="C38" s="4" t="inlineStr">
        <is>
          <t>Covered terrace</t>
        </is>
      </c>
      <c r="D38" s="4" t="n">
        <v>45.4</v>
      </c>
      <c r="E38" s="4" t="n">
        <v>4.2</v>
      </c>
      <c r="F38" s="4" t="inlineStr">
        <is>
          <t>terrace tap (plants, cleaning)</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99"/>
  <sheetViews>
    <sheetView workbookViewId="0">
      <pane ySplit="1" topLeftCell="A2" activePane="bottomLeft" state="frozen"/>
      <selection pane="bottomLeft" activeCell="A1" sqref="A1"/>
    </sheetView>
  </sheetViews>
  <sheetFormatPr baseColWidth="8" defaultRowHeight="15"/>
  <cols>
    <col width="22" customWidth="1" min="1" max="1"/>
    <col width="50" customWidth="1" min="2" max="2"/>
    <col width="60" customWidth="1" min="3" max="3"/>
    <col width="14" customWidth="1" min="4" max="4"/>
    <col width="14" customWidth="1" min="5" max="5"/>
  </cols>
  <sheetData>
    <row r="1" ht="30" customHeight="1">
      <c r="A1" s="3" t="inlineStr">
        <is>
          <t>Area</t>
        </is>
      </c>
      <c r="B1" s="3" t="inlineStr">
        <is>
          <t>Common mistake</t>
        </is>
      </c>
      <c r="C1" s="3" t="inlineStr">
        <is>
          <t>Do instead</t>
        </is>
      </c>
      <c r="D1" s="3" t="inlineStr">
        <is>
          <t>Shown on</t>
        </is>
      </c>
      <c r="E1" s="3" t="inlineStr">
        <is>
          <t>Status</t>
        </is>
      </c>
    </row>
    <row r="2">
      <c r="A2" s="4" t="inlineStr">
        <is>
          <t>Whole house: structure and site (Guntur)</t>
        </is>
      </c>
      <c r="B2" s="4" t="inlineStr">
        <is>
          <t>Ordinary shallow footings on black cotton soil: walls crack after the first monsoon as the soil swells and shrinks.</t>
        </is>
      </c>
      <c r="C2" s="4" t="inlineStr">
        <is>
          <t>Get a soil test first. Take footings below the active zone or use under-reamed piles, tie them with a plinth beam, and put a sand cushion under it.</t>
        </is>
      </c>
      <c r="D2" s="4" t="inlineStr">
        <is>
          <t>A-301, A-501/1</t>
        </is>
      </c>
      <c r="E2" s="8" t="inlineStr"/>
    </row>
    <row r="3">
      <c r="A3" s="4" t="inlineStr">
        <is>
          <t>Whole house: structure and site (Guntur)</t>
        </is>
      </c>
      <c r="B3" s="4" t="inlineStr">
        <is>
          <t>Filling the plinth with the black soil dug out of the foundations: the floor heaves and cracks.</t>
        </is>
      </c>
      <c r="C3" s="4" t="inlineStr">
        <is>
          <t>Fill with moorum or gravel compacted in 150 mm layers. Cart the black soil away or use it in the garden.</t>
        </is>
      </c>
      <c r="D3" s="4" t="inlineStr">
        <is>
          <t>A-501/1</t>
        </is>
      </c>
      <c r="E3" s="8" t="inlineStr"/>
    </row>
    <row r="4">
      <c r="A4" s="4" t="inlineStr">
        <is>
          <t>Whole house: structure and site (Guntur)</t>
        </is>
      </c>
      <c r="B4" s="4" t="inlineStr">
        <is>
          <t>Rainwater, garden beds and soak pits right next to the walls.</t>
        </is>
      </c>
      <c r="C4" s="4" t="inlineStr">
        <is>
          <t>Lay a 3 ft paved apron sloping away, run gutters to the sump, and keep soak pits and septic 6 ft+ away (here the sealed septic tank and lined soak pit sit in the spare rear land, about 15 ft from the house).</t>
        </is>
      </c>
      <c r="D4" s="4" t="inlineStr">
        <is>
          <t>A-101, P-101</t>
        </is>
      </c>
      <c r="E4" s="8" t="inlineStr"/>
    </row>
    <row r="5">
      <c r="A5" s="4" t="inlineStr">
        <is>
          <t>Whole house: structure and site (Guntur)</t>
        </is>
      </c>
      <c r="B5" s="4" t="inlineStr">
        <is>
          <t>Planting neem, mango or coconut trees close to the house for shade: roots dry the soil and the walls crack.</t>
        </is>
      </c>
      <c r="C5" s="4" t="inlineStr">
        <is>
          <t>Keep big trees 8 ft+ away (ideally their mature height). Shade the west wall with a creeper pergola instead.</t>
        </is>
      </c>
      <c r="D5" s="4" t="inlineStr">
        <is>
          <t>A-101</t>
        </is>
      </c>
      <c r="E5" s="8" t="inlineStr"/>
    </row>
    <row r="6">
      <c r="A6" s="4" t="inlineStr">
        <is>
          <t>Whole house: structure and site (Guntur)</t>
        </is>
      </c>
      <c r="B6" s="4" t="inlineStr">
        <is>
          <t>Plinth set at road level on farm land: roads and neighbouring plots get raised later and rain flows in.</t>
        </is>
      </c>
      <c r="C6" s="4" t="inlineStr">
        <is>
          <t>FFL 2 ft above finished ground and at least 18 in above the road crown. Survey levels before fixing it.</t>
        </is>
      </c>
      <c r="D6" s="4" t="inlineStr">
        <is>
          <t>A-001, A-301</t>
        </is>
      </c>
      <c r="E6" s="8" t="inlineStr"/>
    </row>
    <row r="7">
      <c r="A7" s="4" t="inlineStr">
        <is>
          <t>Whole house: structure and site (Guntur)</t>
        </is>
      </c>
      <c r="B7" s="4" t="inlineStr">
        <is>
          <t>Skipping the anti-termite treatment or doing it after the floor.</t>
        </is>
      </c>
      <c r="C7" s="4" t="inlineStr">
        <is>
          <t>Treat before the plinth fill, at each fill layer and along the walls; get a certificate with a warranty.</t>
        </is>
      </c>
      <c r="D7" s="4" t="inlineStr">
        <is>
          <t>A-001</t>
        </is>
      </c>
      <c r="E7" s="8" t="inlineStr"/>
    </row>
    <row r="8">
      <c r="A8" s="4" t="inlineStr">
        <is>
          <t>Whole house: structure and site (Guntur)</t>
        </is>
      </c>
      <c r="B8" s="4" t="inlineStr">
        <is>
          <t>Treating AAC like brick: no mesh at joints, chases cut with a hammer. Hairline cracks appear everywhere.</t>
        </is>
      </c>
      <c r="C8" s="4" t="inlineStr">
        <is>
          <t>Put a mesh strip over every block-to-concrete joint, cut chases with a machine, and use thin-bed mortar.</t>
        </is>
      </c>
      <c r="D8" s="4" t="inlineStr">
        <is>
          <t>A-502/8</t>
        </is>
      </c>
      <c r="E8" s="8" t="inlineStr"/>
    </row>
    <row r="9">
      <c r="A9" s="4" t="inlineStr">
        <is>
          <t>Whole house: structure and site (Guntur)</t>
        </is>
      </c>
      <c r="B9" s="4" t="inlineStr">
        <is>
          <t>No lintel band or ring beam: risky in seismic zone III, and the roof trusses have nothing solid to bolt to.</t>
        </is>
      </c>
      <c r="C9" s="4" t="inlineStr">
        <is>
          <t>Run a continuous RCC lintel band at door height and a ring beam at wall top with holding-down bolts.</t>
        </is>
      </c>
      <c r="D9" s="4" t="inlineStr">
        <is>
          <t>A-301, A-501/4</t>
        </is>
      </c>
      <c r="E9" s="8" t="inlineStr"/>
    </row>
    <row r="10">
      <c r="A10" s="4" t="inlineStr">
        <is>
          <t>Whole house: structure and site (Guntur)</t>
        </is>
      </c>
      <c r="B10" s="4" t="inlineStr">
        <is>
          <t>No record of where pipes and wires run: someone drills into a pipe years later.</t>
        </is>
      </c>
      <c r="C10" s="4" t="inlineStr">
        <is>
          <t>Photograph every wall with a tape measure in view before plaster and keep the photos with the drawings.</t>
        </is>
      </c>
      <c r="D10" s="4" t="inlineStr">
        <is>
          <t>A-001</t>
        </is>
      </c>
      <c r="E10" s="8" t="inlineStr"/>
    </row>
    <row r="11">
      <c r="A11" s="4" t="inlineStr">
        <is>
          <t>Whole house: structure and site (Guntur)</t>
        </is>
      </c>
      <c r="B11" s="4" t="inlineStr">
        <is>
          <t>Designing the footings and columns for one storey and adding the first floor later.</t>
        </is>
      </c>
      <c r="C11" s="4" t="inlineStr">
        <is>
          <t>This duplex is two storeys from day one: the engineer sizes footings, columns and the first-floor slab for both floors, with RCC column stubs at the terrace edge for the steel roof posts.</t>
        </is>
      </c>
      <c r="D11" s="4" t="inlineStr">
        <is>
          <t>A-301</t>
        </is>
      </c>
      <c r="E11" s="8" t="inlineStr"/>
    </row>
    <row r="12">
      <c r="A12" s="4" t="inlineStr">
        <is>
          <t>Poomukham and entrance</t>
        </is>
      </c>
      <c r="B12" s="4" t="inlineStr">
        <is>
          <t>Polished granite on steps and verandah: slippery when wet.</t>
        </is>
      </c>
      <c r="C12" s="4" t="inlineStr">
        <is>
          <t>Use flamed or leather-finish granite and give steps a nosing.</t>
        </is>
      </c>
      <c r="D12" s="4" t="inlineStr">
        <is>
          <t>A-108</t>
        </is>
      </c>
      <c r="E12" s="8" t="inlineStr"/>
    </row>
    <row r="13">
      <c r="A13" s="4" t="inlineStr">
        <is>
          <t>Poomukham and entrance</t>
        </is>
      </c>
      <c r="B13" s="4" t="inlineStr">
        <is>
          <t>Uneven steps (the last one different), which make people trip.</t>
        </is>
      </c>
      <c r="C13" s="4" t="inlineStr">
        <is>
          <t>Make all risers 6 in and treads 12 in, with 3 equal risers from ground to verandah.</t>
        </is>
      </c>
      <c r="D13" s="4" t="inlineStr">
        <is>
          <t>A-202, A-301</t>
        </is>
      </c>
      <c r="E13" s="8" t="inlineStr"/>
    </row>
    <row r="14">
      <c r="A14" s="4" t="inlineStr">
        <is>
          <t>Poomukham and entrance</t>
        </is>
      </c>
      <c r="B14" s="4" t="inlineStr">
        <is>
          <t>Verandah floor at the same level as the house: wind-driven rain runs in under the main door.</t>
        </is>
      </c>
      <c r="C14" s="4" t="inlineStr">
        <is>
          <t>Set the poomukham 6 in lower, sloping out 1:100, with a raised weather bar under the main door.</t>
        </is>
      </c>
      <c r="D14" s="4" t="inlineStr">
        <is>
          <t>A-108, A-502/9</t>
        </is>
      </c>
      <c r="E14" s="8" t="inlineStr"/>
    </row>
    <row r="15">
      <c r="A15" s="4" t="inlineStr">
        <is>
          <t>Poomukham and entrance</t>
        </is>
      </c>
      <c r="B15" s="4" t="inlineStr">
        <is>
          <t>No place to wash feet or leave footwear: mud and dust come inside.</t>
        </is>
      </c>
      <c r="C15" s="4" t="inlineStr">
        <is>
          <t>Put a foot-wash tap with a small drain beside the steps, and keep a shoe bench just inside the main door (here on the east wall north of the door).</t>
        </is>
      </c>
      <c r="D15" s="4" t="inlineStr">
        <is>
          <t>A-104</t>
        </is>
      </c>
      <c r="E15" s="8" t="inlineStr"/>
    </row>
    <row r="16">
      <c r="A16" s="4" t="inlineStr">
        <is>
          <t>Poomukham and entrance</t>
        </is>
      </c>
      <c r="B16" s="4" t="inlineStr">
        <is>
          <t>Oonjal (swing) hung later from the roof purlins.</t>
        </is>
      </c>
      <c r="C16" s="4" t="inlineStr">
        <is>
          <t>Cast or bolt swing hooks into the verandah beam, rated for 200 kg, before the roof goes on.</t>
        </is>
      </c>
      <c r="D16" s="4" t="inlineStr">
        <is>
          <t>A-104</t>
        </is>
      </c>
      <c r="E16" s="8" t="inlineStr"/>
    </row>
    <row r="17">
      <c r="A17" s="4" t="inlineStr">
        <is>
          <t>Poomukham and entrance</t>
        </is>
      </c>
      <c r="B17" s="4" t="inlineStr">
        <is>
          <t>Bell, CCTV and outdoor light added later with surface wiring.</t>
        </is>
      </c>
      <c r="C17" s="4" t="inlineStr">
        <is>
          <t>Run conduits now to the bell, camera, gate light and intercom.</t>
        </is>
      </c>
      <c r="D17" s="4" t="inlineStr">
        <is>
          <t>E-101, E-103</t>
        </is>
      </c>
      <c r="E17" s="8" t="inlineStr"/>
    </row>
    <row r="18">
      <c r="A18" s="4" t="inlineStr">
        <is>
          <t>Living</t>
        </is>
      </c>
      <c r="B18" s="4" t="inlineStr">
        <is>
          <t>TV on a wall facing a window, so glare washes it out.</t>
        </is>
      </c>
      <c r="C18" s="4" t="inlineStr">
        <is>
          <t>TV on the stair wall (west) of the living, the north window to the side, nothing bright behind or opposite the screen; conduit to the router under the stair.</t>
        </is>
      </c>
      <c r="D18" s="4" t="inlineStr">
        <is>
          <t>A-104, E-103</t>
        </is>
      </c>
      <c r="E18" s="8" t="inlineStr"/>
    </row>
    <row r="19">
      <c r="A19" s="4" t="inlineStr">
        <is>
          <t>Living</t>
        </is>
      </c>
      <c r="B19" s="4" t="inlineStr">
        <is>
          <t>Too few sockets, leading to extension cords across the floor.</t>
        </is>
      </c>
      <c r="C19" s="4" t="inlineStr">
        <is>
          <t>Fit sockets at the sofa end and 2 at the TV, and the router socket on the inverter circuit.</t>
        </is>
      </c>
      <c r="D19" s="4" t="inlineStr">
        <is>
          <t>E-103</t>
        </is>
      </c>
      <c r="E19" s="8" t="inlineStr"/>
    </row>
    <row r="20">
      <c r="A20" s="4" t="inlineStr">
        <is>
          <t>Living</t>
        </is>
      </c>
      <c r="B20" s="4" t="inlineStr">
        <is>
          <t>Living under a bare slab that heats up in the afternoon.</t>
        </is>
      </c>
      <c r="C20" s="4" t="inlineStr">
        <is>
          <t>The slab over the living is the covered terrace, shaded by the main roof, so it stays cool; insulate under the terrace tiles if the terrace is ever left open to the sky.</t>
        </is>
      </c>
      <c r="D20" s="4" t="inlineStr">
        <is>
          <t>A-301, A-109</t>
        </is>
      </c>
      <c r="E20" s="8" t="inlineStr"/>
    </row>
    <row r="21">
      <c r="A21" s="4" t="inlineStr">
        <is>
          <t>Living</t>
        </is>
      </c>
      <c r="B21" s="4" t="inlineStr">
        <is>
          <t>A dark living with only one outside wall to the north.</t>
        </is>
      </c>
      <c r="C21" s="4" t="inlineStr">
        <is>
          <t>Light from the north window, the main door and the poomukham, borrowed light through the stair jali; light wall and ceiling colours.</t>
        </is>
      </c>
      <c r="D21" s="4" t="inlineStr">
        <is>
          <t>A-102</t>
        </is>
      </c>
      <c r="E21" s="8" t="inlineStr"/>
    </row>
    <row r="22">
      <c r="A22" s="4" t="inlineStr">
        <is>
          <t>Living</t>
        </is>
      </c>
      <c r="B22" s="4" t="inlineStr">
        <is>
          <t>Large west or south glazing: the room overheats in April-May.</t>
        </is>
      </c>
      <c r="C22" s="4" t="inlineStr">
        <is>
          <t>Glaze to the north; light from the east comes in through the main door and poomukham; south only through jalis and sunshaded windows.</t>
        </is>
      </c>
      <c r="D22" s="4" t="inlineStr">
        <is>
          <t>A-201</t>
        </is>
      </c>
      <c r="E22" s="8" t="inlineStr"/>
    </row>
    <row r="23">
      <c r="A23" s="4" t="inlineStr">
        <is>
          <t>Living</t>
        </is>
      </c>
      <c r="B23" s="4" t="inlineStr">
        <is>
          <t>Main door swinging into the sofa or the DB.</t>
        </is>
      </c>
      <c r="C23" s="4" t="inlineStr">
        <is>
          <t>Check door swings against the furniture; the DB is in the under-stair cupboard off the lobby, away from the door and the pooja.</t>
        </is>
      </c>
      <c r="D23" s="4" t="inlineStr">
        <is>
          <t>A-104, E-103</t>
        </is>
      </c>
      <c r="E23" s="8" t="inlineStr"/>
    </row>
    <row r="24">
      <c r="A24" s="4" t="inlineStr">
        <is>
          <t>Stair and first floor</t>
        </is>
      </c>
      <c r="B24" s="4" t="inlineStr">
        <is>
          <t>Uneven risers or a short landing: people trip, furniture cannot go up.</t>
        </is>
      </c>
      <c r="C24" s="4" t="inlineStr">
        <is>
          <t>17 equal risers of about 7 in, 10 in treads, 3'-6" flights and a half landing about 7'-6" x 5'-8"; check a mattress and a wardrobe panel can turn on it.</t>
        </is>
      </c>
      <c r="D24" s="4" t="inlineStr">
        <is>
          <t>A-102, A-301</t>
        </is>
      </c>
      <c r="E24" s="8" t="inlineStr"/>
    </row>
    <row r="25">
      <c r="A25" s="4" t="inlineStr">
        <is>
          <t>Stair and first floor</t>
        </is>
      </c>
      <c r="B25" s="4" t="inlineStr">
        <is>
          <t>Low headroom where the upper flight passes over the lobby.</t>
        </is>
      </c>
      <c r="C25" s="4" t="inlineStr">
        <is>
          <t>Keep 7 ft clear under every part of the stair; the space under the upper flight is a cupboard, not a walkway.</t>
        </is>
      </c>
      <c r="D25" s="4" t="inlineStr">
        <is>
          <t>A-301</t>
        </is>
      </c>
      <c r="E25" s="8" t="inlineStr"/>
    </row>
    <row r="26">
      <c r="A26" s="4" t="inlineStr">
        <is>
          <t>Stair and first floor</t>
        </is>
      </c>
      <c r="B26" s="4" t="inlineStr">
        <is>
          <t>Open stair edges and a lounge rail children can climb.</t>
        </is>
      </c>
      <c r="C26" s="4" t="inlineStr">
        <is>
          <t>Railings 3'-6" high with vertical members at 4 in gaps, no horizontal rails to climb.</t>
        </is>
      </c>
      <c r="D26" s="4" t="inlineStr">
        <is>
          <t>A-103</t>
        </is>
      </c>
      <c r="E26" s="8" t="inlineStr"/>
    </row>
    <row r="27">
      <c r="A27" s="4" t="inlineStr">
        <is>
          <t>Stair and first floor</t>
        </is>
      </c>
      <c r="B27" s="4" t="inlineStr">
        <is>
          <t>First-floor outdoor lounge leaking into the bedroom below.</t>
        </is>
      </c>
      <c r="C27" s="4" t="inlineStr">
        <is>
          <t>Waterproof the slab with upturns, fall 1:80 to a spout away from the wall, flood-test 48 h, then tile.</t>
        </is>
      </c>
      <c r="D27" s="4" t="inlineStr">
        <is>
          <t>A-109</t>
        </is>
      </c>
      <c r="E27" s="8" t="inlineStr"/>
    </row>
    <row r="28">
      <c r="A28" s="4" t="inlineStr">
        <is>
          <t>Stair and first floor</t>
        </is>
      </c>
      <c r="B28" s="4" t="inlineStr">
        <is>
          <t>West sun on the upper floor.</t>
        </is>
      </c>
      <c r="C28" s="4" t="inlineStr">
        <is>
          <t>The upper master's west wall is solid; the lounge's open west side gets bamboo chiks; the main roof's 2 ft eave shades the walls.</t>
        </is>
      </c>
      <c r="D28" s="4" t="inlineStr">
        <is>
          <t>A-202</t>
        </is>
      </c>
      <c r="E28" s="8" t="inlineStr"/>
    </row>
    <row r="29">
      <c r="A29" s="4" t="inlineStr">
        <is>
          <t>Stair and first floor</t>
        </is>
      </c>
      <c r="B29" s="4" t="inlineStr">
        <is>
          <t>Covered terrace leaking into the living below.</t>
        </is>
      </c>
      <c r="C29" s="4" t="inlineStr">
        <is>
          <t>Waterproof the whole terrace slab with upturns at the walls and posts, fall 1:80 to the drain in the south-east corner, flood-test 48 h, then tile.</t>
        </is>
      </c>
      <c r="D29" s="4" t="inlineStr">
        <is>
          <t>A-109, P-101</t>
        </is>
      </c>
      <c r="E29" s="8" t="inlineStr"/>
    </row>
    <row r="30">
      <c r="A30" s="4" t="inlineStr">
        <is>
          <t>Stair and first floor</t>
        </is>
      </c>
      <c r="B30" s="4" t="inlineStr">
        <is>
          <t>Steel roof posts rusting at the base where water sits.</t>
        </is>
      </c>
      <c r="C30" s="4" t="inlineStr">
        <is>
          <t>Hot-dip galvanised posts on RCC stubs 6 in above the terrace tiles, base plates grouted and sealed; repaint every few years.</t>
        </is>
      </c>
      <c r="D30" s="4" t="inlineStr">
        <is>
          <t>A-301</t>
        </is>
      </c>
      <c r="E30" s="8" t="inlineStr"/>
    </row>
    <row r="31">
      <c r="A31" s="4" t="inlineStr">
        <is>
          <t>Stair and first floor</t>
        </is>
      </c>
      <c r="B31" s="4" t="inlineStr">
        <is>
          <t>Rain blowing onto the terrace in the monsoon.</t>
        </is>
      </c>
      <c r="C31" s="4" t="inlineStr">
        <is>
          <t>The main roof overhangs 2 ft beyond the railings; add bamboo chiks or roll-down blinds on the south and east if needed.</t>
        </is>
      </c>
      <c r="D31" s="4" t="inlineStr">
        <is>
          <t>A-202</t>
        </is>
      </c>
      <c r="E31" s="8" t="inlineStr"/>
    </row>
    <row r="32">
      <c r="A32" s="4" t="inlineStr">
        <is>
          <t>Ventilator on the ridge</t>
        </is>
      </c>
      <c r="B32" s="4" t="inlineStr">
        <is>
          <t>Hot air trapped under the tiles over the open terrace.</t>
        </is>
      </c>
      <c r="C32" s="4" t="inlineStr">
        <is>
          <t>A raised ventilator on the ridge with louvres on all four sides lets it out; the terrace below is open-sided, so no shutters are needed.</t>
        </is>
      </c>
      <c r="D32" s="4" t="inlineStr">
        <is>
          <t>A-503, A-110</t>
        </is>
      </c>
      <c r="E32" s="8" t="inlineStr"/>
    </row>
    <row r="33">
      <c r="A33" s="4" t="inlineStr">
        <is>
          <t>Ventilator on the ridge</t>
        </is>
      </c>
      <c r="B33" s="4" t="inlineStr">
        <is>
          <t>Flat-topped roof ventilator: water ponds, leaves and droppings collect, and it leaks first.</t>
        </is>
      </c>
      <c r="C33" s="4" t="inlineStr">
        <is>
          <t>Give it a small hipped roof at the main roof pitch, tiled and clipped, with a 1'-6" overhang and drip edge.</t>
        </is>
      </c>
      <c r="D33" s="4" t="inlineStr">
        <is>
          <t>A-503</t>
        </is>
      </c>
      <c r="E33" s="8" t="inlineStr"/>
    </row>
    <row r="34">
      <c r="A34" s="4" t="inlineStr">
        <is>
          <t>Ventilator on the ridge</t>
        </is>
      </c>
      <c r="B34" s="4" t="inlineStr">
        <is>
          <t>Flat or shallow louvres: cyclone rain blows straight through.</t>
        </is>
      </c>
      <c r="C34" s="4" t="inlineStr">
        <is>
          <t>45 deg blades sloping down and out with a 4 in lap (no straight line through), on a sill sloped out 1:10 with a drip.</t>
        </is>
      </c>
      <c r="D34" s="4" t="inlineStr">
        <is>
          <t>A-503</t>
        </is>
      </c>
      <c r="E34" s="8" t="inlineStr"/>
    </row>
    <row r="35">
      <c r="A35" s="4" t="inlineStr">
        <is>
          <t>Ventilator on the ridge</t>
        </is>
      </c>
      <c r="B35" s="4" t="inlineStr">
        <is>
          <t>Birds nesting in the ventilator.</t>
        </is>
      </c>
      <c r="C35" s="4" t="inlineStr">
        <is>
          <t>SS 304 bird mesh behind the louvres in a continuous frame.</t>
        </is>
      </c>
      <c r="D35" s="4" t="inlineStr">
        <is>
          <t>A-503</t>
        </is>
      </c>
      <c r="E35" s="8" t="inlineStr"/>
    </row>
    <row r="36">
      <c r="A36" s="4" t="inlineStr">
        <is>
          <t>Kitchen</t>
        </is>
      </c>
      <c r="B36" s="4" t="inlineStr">
        <is>
          <t>Counter at the Western 36 in height: tiring for Indian cooking with tall vessels.</t>
        </is>
      </c>
      <c r="C36" s="4" t="inlineStr">
        <is>
          <t>Make the counter 34 in, with a 30-31 in section for grinding and rolling chapatis.</t>
        </is>
      </c>
      <c r="D36" s="4" t="inlineStr">
        <is>
          <t>A-502/6</t>
        </is>
      </c>
      <c r="E36" s="8" t="inlineStr"/>
    </row>
    <row r="37">
      <c r="A37" s="4" t="inlineStr">
        <is>
          <t>Kitchen</t>
        </is>
      </c>
      <c r="B37" s="4" t="inlineStr">
        <is>
          <t>White glossy floor and counter: shows every turmeric stain and is slippery with oil.</t>
        </is>
      </c>
      <c r="C37" s="4" t="inlineStr">
        <is>
          <t>Use a mid-tone matt floor and a granite counter (local Chimakurthy / Ongole).</t>
        </is>
      </c>
      <c r="D37" s="4" t="inlineStr">
        <is>
          <t>A-108</t>
        </is>
      </c>
      <c r="E37" s="8" t="inlineStr"/>
    </row>
    <row r="38">
      <c r="A38" s="4" t="inlineStr">
        <is>
          <t>Kitchen</t>
        </is>
      </c>
      <c r="B38" s="4" t="inlineStr">
        <is>
          <t>Chimney duct with long bends: weak suction and grease build-up.</t>
        </is>
      </c>
      <c r="C38" s="4" t="inlineStr">
        <is>
          <t>Hob on the east run with the chimney ducted straight out through the east wall.</t>
        </is>
      </c>
      <c r="D38" s="4" t="inlineStr">
        <is>
          <t>A-502/6, E-103</t>
        </is>
      </c>
      <c r="E38" s="8" t="inlineStr"/>
    </row>
    <row r="39">
      <c r="A39" s="4" t="inlineStr">
        <is>
          <t>Kitchen</t>
        </is>
      </c>
      <c r="B39" s="4" t="inlineStr">
        <is>
          <t>Too few counter sockets.</t>
        </is>
      </c>
      <c r="C39" s="4" t="inlineStr">
        <is>
          <t>Fit 5-6 sockets at 42 in plus 16 A for the fridge, microwave / OTG and chimney; RO point by the sink.</t>
        </is>
      </c>
      <c r="D39" s="4" t="inlineStr">
        <is>
          <t>E-103</t>
        </is>
      </c>
      <c r="E39" s="8" t="inlineStr"/>
    </row>
    <row r="40">
      <c r="A40" s="4" t="inlineStr">
        <is>
          <t>Kitchen</t>
        </is>
      </c>
      <c r="B40" s="4" t="inlineStr">
        <is>
          <t>Base cabinets standing on the floor: rot and termites.</t>
        </is>
      </c>
      <c r="C40" s="4" t="inlineStr">
        <is>
          <t>Put cabinets on 4 in legs or a granite plinth.</t>
        </is>
      </c>
      <c r="D40" s="4" t="inlineStr">
        <is>
          <t>A-502/6</t>
        </is>
      </c>
      <c r="E40" s="8" t="inlineStr"/>
    </row>
    <row r="41">
      <c r="A41" s="4" t="inlineStr">
        <is>
          <t>Kitchen</t>
        </is>
      </c>
      <c r="B41" s="4" t="inlineStr">
        <is>
          <t>Gas cylinder in a closed cabinet under the hob.</t>
        </is>
      </c>
      <c r="C41" s="4" t="inlineStr">
        <is>
          <t>Keep the cylinder in the wet area with a fixed copper / steel line and a valve through the wall.</t>
        </is>
      </c>
      <c r="D41" s="4" t="inlineStr">
        <is>
          <t>A-104</t>
        </is>
      </c>
      <c r="E41" s="8" t="inlineStr"/>
    </row>
    <row r="42">
      <c r="A42" s="4" t="inlineStr">
        <is>
          <t>Kitchen</t>
        </is>
      </c>
      <c r="B42" s="4" t="inlineStr">
        <is>
          <t>Kitchen drain without a grease trap: chokes within a year.</t>
        </is>
      </c>
      <c r="C42" s="4" t="inlineStr">
        <is>
          <t>Put a grease trap outside, before any junction.</t>
        </is>
      </c>
      <c r="D42" s="4" t="inlineStr">
        <is>
          <t>P-101</t>
        </is>
      </c>
      <c r="E42" s="8" t="inlineStr"/>
    </row>
    <row r="43">
      <c r="A43" s="4" t="inlineStr">
        <is>
          <t>Kitchen</t>
        </is>
      </c>
      <c r="B43" s="4" t="inlineStr">
        <is>
          <t>Fridge beside the hob or in direct sun.</t>
        </is>
      </c>
      <c r="C43" s="4" t="inlineStr">
        <is>
          <t>Fridge on the kitchen's north wall, clear of the entry door and away from the hob.</t>
        </is>
      </c>
      <c r="D43" s="4" t="inlineStr">
        <is>
          <t>A-104</t>
        </is>
      </c>
      <c r="E43" s="8" t="inlineStr"/>
    </row>
    <row r="44">
      <c r="A44" s="4" t="inlineStr">
        <is>
          <t>Wet area, store and kitchen entry</t>
        </is>
      </c>
      <c r="B44" s="4" t="inlineStr">
        <is>
          <t>A narrow kitchen entry squeezed past a TV wall: two people can't pass and serving is awkward.</t>
        </is>
      </c>
      <c r="C44" s="4" t="inlineStr">
        <is>
          <t>The kitchen is entered through a 3 ft hinged door on its west side, straight off the dining; the wet area opens off the kitchen through a sliding door.</t>
        </is>
      </c>
      <c r="D44" s="4" t="inlineStr">
        <is>
          <t>A-102</t>
        </is>
      </c>
      <c r="E44" s="8" t="inlineStr"/>
    </row>
    <row r="45">
      <c r="A45" s="4" t="inlineStr">
        <is>
          <t>Wet area, store and kitchen entry</t>
        </is>
      </c>
      <c r="B45" s="4" t="inlineStr">
        <is>
          <t>Wet area that floods in heavy rain, or a service door that becomes a back door for intruders.</t>
        </is>
      </c>
      <c r="C45" s="4" t="inlineStr">
        <is>
          <t>Floor 3 in below the house sloping to its trap; a lockable steel service door to the walkway with a kerb.</t>
        </is>
      </c>
      <c r="D45" s="4" t="inlineStr">
        <is>
          <t>A-102, A-108</t>
        </is>
      </c>
      <c r="E45" s="8" t="inlineStr"/>
    </row>
    <row r="46">
      <c r="A46" s="4" t="inlineStr">
        <is>
          <t>Wet area, store and kitchen entry</t>
        </is>
      </c>
      <c r="B46" s="4" t="inlineStr">
        <is>
          <t>Washing machine with no tap, drain or socket at the right height.</t>
        </is>
      </c>
      <c r="C46" s="4" t="inlineStr">
        <is>
          <t>Provide a tap at 3 ft, a floor drain behind the machine and a splash-proof 16 A socket at 4 ft.</t>
        </is>
      </c>
      <c r="D46" s="4" t="inlineStr">
        <is>
          <t>P-101, E-103</t>
        </is>
      </c>
      <c r="E46" s="8" t="inlineStr"/>
    </row>
    <row r="47">
      <c r="A47" s="4" t="inlineStr">
        <is>
          <t>Wet area, store and kitchen entry</t>
        </is>
      </c>
      <c r="B47" s="4" t="inlineStr">
        <is>
          <t>No store, so provisions end up on the floor.</t>
        </is>
      </c>
      <c r="C47" s="4" t="inlineStr">
        <is>
          <t>A 4 x 4'-6" store off the dining with full-height racks, a high jali vent and a jali above the door; lofts over the kitchen.</t>
        </is>
      </c>
      <c r="D47" s="4" t="inlineStr">
        <is>
          <t>A-104</t>
        </is>
      </c>
      <c r="E47" s="8" t="inlineStr"/>
    </row>
    <row r="48">
      <c r="A48" s="4" t="inlineStr">
        <is>
          <t>Wet area, store and kitchen entry</t>
        </is>
      </c>
      <c r="B48" s="4" t="inlineStr">
        <is>
          <t>Inverter batteries in a bedroom or a closed cupboard.</t>
        </is>
      </c>
      <c r="C48" s="4" t="inlineStr">
        <is>
          <t>Lithium inverter in the ventilated under-stair cupboard, away from water and bedrooms.</t>
        </is>
      </c>
      <c r="D48" s="4" t="inlineStr">
        <is>
          <t>E-103</t>
        </is>
      </c>
      <c r="E48" s="8" t="inlineStr"/>
    </row>
    <row r="49">
      <c r="A49" s="4" t="inlineStr">
        <is>
          <t>Pooja</t>
        </is>
      </c>
      <c r="B49" s="4" t="inlineStr">
        <is>
          <t>Lamp smoke blackens the ceiling and the teak panelling.</t>
        </is>
      </c>
      <c r="C49" s="4" t="inlineStr">
        <is>
          <t>Fit a heat-proof granite or brass back panel behind the diya and a small high vent; use a washable ceiling finish.</t>
        </is>
      </c>
      <c r="D49" s="4" t="inlineStr">
        <is>
          <t>A-108</t>
        </is>
      </c>
      <c r="E49" s="8" t="inlineStr"/>
    </row>
    <row r="50">
      <c r="A50" s="4" t="inlineStr">
        <is>
          <t>Pooja</t>
        </is>
      </c>
      <c r="B50" s="4" t="inlineStr">
        <is>
          <t>Pooja sharing a wall with a toilet.</t>
        </is>
      </c>
      <c r="C50" s="4" t="inlineStr">
        <is>
          <t>Here the pooja sits in the living's south-east corner, back to back with the kitchen (no toilet on any side), opening west into the living with doors that open inward.</t>
        </is>
      </c>
      <c r="D50" s="4" t="inlineStr">
        <is>
          <t>A-102</t>
        </is>
      </c>
      <c r="E50" s="8" t="inlineStr"/>
    </row>
    <row r="51">
      <c r="A51" s="4" t="inlineStr">
        <is>
          <t>Pooja</t>
        </is>
      </c>
      <c r="B51" s="4" t="inlineStr">
        <is>
          <t>Polished marble floor that becomes slippery with oil.</t>
        </is>
      </c>
      <c r="C51" s="4" t="inlineStr">
        <is>
          <t>Use honed (matt) marble or teak.</t>
        </is>
      </c>
      <c r="D51" s="4" t="inlineStr">
        <is>
          <t>A-108</t>
        </is>
      </c>
      <c r="E51" s="8" t="inlineStr"/>
    </row>
    <row r="52">
      <c r="A52" s="4" t="inlineStr">
        <is>
          <t>Bedrooms</t>
        </is>
      </c>
      <c r="B52" s="4" t="inlineStr">
        <is>
          <t>AC indoor unit above the bed head: cold air blows on your head all night.</t>
        </is>
      </c>
      <c r="C52" s="4" t="inlineStr">
        <is>
          <t>Mount the AC on a side or opposite wall, throwing across the bed.</t>
        </is>
      </c>
      <c r="D52" s="4" t="inlineStr">
        <is>
          <t>E-103</t>
        </is>
      </c>
      <c r="E52" s="8" t="inlineStr"/>
    </row>
    <row r="53">
      <c r="A53" s="4" t="inlineStr">
        <is>
          <t>Bedrooms</t>
        </is>
      </c>
      <c r="B53" s="4" t="inlineStr">
        <is>
          <t>Only one switchboard at the door.</t>
        </is>
      </c>
      <c r="C53" s="4" t="inlineStr">
        <is>
          <t>Add 2-way switches at the bed for the light and fan, plus bedside sockets.</t>
        </is>
      </c>
      <c r="D53" s="4" t="inlineStr">
        <is>
          <t>E-101, E-103</t>
        </is>
      </c>
      <c r="E53" s="8" t="inlineStr"/>
    </row>
    <row r="54">
      <c r="A54" s="4" t="inlineStr">
        <is>
          <t>Bedrooms</t>
        </is>
      </c>
      <c r="B54" s="4" t="inlineStr">
        <is>
          <t>Wardrobe shallower than 2 ft: hangers do not fit.</t>
        </is>
      </c>
      <c r="C54" s="4" t="inlineStr">
        <is>
          <t>Make wardrobes 2 ft deep with lofts above to the false ceiling.</t>
        </is>
      </c>
      <c r="D54" s="4" t="inlineStr">
        <is>
          <t>A-104, A-105</t>
        </is>
      </c>
      <c r="E54" s="8" t="inlineStr"/>
    </row>
    <row r="55">
      <c r="A55" s="4" t="inlineStr">
        <is>
          <t>Bedrooms</t>
        </is>
      </c>
      <c r="B55" s="4" t="inlineStr">
        <is>
          <t>2'-6" bedroom doors: a mattress or cupboard cannot go in later.</t>
        </is>
      </c>
      <c r="C55" s="4" t="inlineStr">
        <is>
          <t>Make bedroom doors 3'-0".</t>
        </is>
      </c>
      <c r="D55" s="4" t="inlineStr">
        <is>
          <t>A-401</t>
        </is>
      </c>
      <c r="E55" s="8" t="inlineStr"/>
    </row>
    <row r="56">
      <c r="A56" s="4" t="inlineStr">
        <is>
          <t>Bedrooms</t>
        </is>
      </c>
      <c r="B56" s="4" t="inlineStr">
        <is>
          <t>Curtain rods, TV brackets and fan hooks screwed into plain AAC, which pulls out.</t>
        </is>
      </c>
      <c r="C56" s="4" t="inlineStr">
        <is>
          <t>Fix timber grounds or use AAC-rated anchors, marked before plaster.</t>
        </is>
      </c>
      <c r="D56" s="4" t="inlineStr">
        <is>
          <t>A-001</t>
        </is>
      </c>
      <c r="E56" s="8" t="inlineStr"/>
    </row>
    <row r="57">
      <c r="A57" s="4" t="inlineStr">
        <is>
          <t>Bedrooms</t>
        </is>
      </c>
      <c r="B57" s="4" t="inlineStr">
        <is>
          <t>Windows without mesh, so mosquito coils every night.</t>
        </is>
      </c>
      <c r="C57" s="4" t="inlineStr">
        <is>
          <t>Put insect mesh on a separate frame on every opening.</t>
        </is>
      </c>
      <c r="D57" s="4" t="inlineStr">
        <is>
          <t>A-401</t>
        </is>
      </c>
      <c r="E57" s="8" t="inlineStr"/>
    </row>
    <row r="58">
      <c r="A58" s="4" t="inlineStr">
        <is>
          <t>Wardrobes and dressing</t>
        </is>
      </c>
      <c r="B58" s="4" t="inlineStr">
        <is>
          <t>Clothes stored in a walk-in only one person can use.</t>
        </is>
      </c>
      <c r="C58" s="4" t="inlineStr">
        <is>
          <t>The upper master has a dressing room between the bedroom and its bath; the ground master and small bedroom have built-in wardrobes with lofts.</t>
        </is>
      </c>
      <c r="D58" s="4" t="inlineStr">
        <is>
          <t>A-108</t>
        </is>
      </c>
      <c r="E58" s="8" t="inlineStr"/>
    </row>
    <row r="59">
      <c r="A59" s="4" t="inlineStr">
        <is>
          <t>Wardrobes and dressing</t>
        </is>
      </c>
      <c r="B59" s="4" t="inlineStr">
        <is>
          <t>Dressing mirror lit from behind.</t>
        </is>
      </c>
      <c r="C59" s="4" t="inlineStr">
        <is>
          <t>Mount the mirror light above or beside the mirror.</t>
        </is>
      </c>
      <c r="D59" s="4" t="inlineStr">
        <is>
          <t>E-101, E-102</t>
        </is>
      </c>
      <c r="E59" s="8" t="inlineStr"/>
    </row>
    <row r="60">
      <c r="A60" s="4" t="inlineStr">
        <is>
          <t>Bathrooms</t>
        </is>
      </c>
      <c r="B60" s="4" t="inlineStr">
        <is>
          <t>Raised step at the bathroom door, which people trip on at night.</t>
        </is>
      </c>
      <c r="C60" s="4" t="inlineStr">
        <is>
          <t>Drop the bathroom 12 mm with a sloped granite threshold and no step.</t>
        </is>
      </c>
      <c r="D60" s="4" t="inlineStr">
        <is>
          <t>A-502/5</t>
        </is>
      </c>
      <c r="E60" s="8" t="inlineStr"/>
    </row>
    <row r="61">
      <c r="A61" s="4" t="inlineStr">
        <is>
          <t>Bathrooms</t>
        </is>
      </c>
      <c r="B61" s="4" t="inlineStr">
        <is>
          <t>Whole floor sloped to one trap: the entire bathroom is always wet.</t>
        </is>
      </c>
      <c r="C61" s="4" t="inlineStr">
        <is>
          <t>Separate wet and dry zones: a linear drain in the shower, the dry zone nearly flat, and a glass partition.</t>
        </is>
      </c>
      <c r="D61" s="4" t="inlineStr">
        <is>
          <t>A-502/5</t>
        </is>
      </c>
      <c r="E61" s="8" t="inlineStr"/>
    </row>
    <row r="62">
      <c r="A62" s="4" t="inlineStr">
        <is>
          <t>Bathrooms</t>
        </is>
      </c>
      <c r="B62" s="4" t="inlineStr">
        <is>
          <t>No waterproofing or flood test: damp skirting in the next bedroom within a year.</t>
        </is>
      </c>
      <c r="C62" s="4" t="inlineStr">
        <is>
          <t>Waterproof the floor, 12 in up the walls and 7 ft in the shower, then do a 48 h flood test before tiling.</t>
        </is>
      </c>
      <c r="D62" s="4" t="inlineStr">
        <is>
          <t>A-502/5, A-001</t>
        </is>
      </c>
      <c r="E62" s="8" t="inlineStr"/>
    </row>
    <row r="63">
      <c r="A63" s="4" t="inlineStr">
        <is>
          <t>Bathrooms</t>
        </is>
      </c>
      <c r="B63" s="4" t="inlineStr">
        <is>
          <t>Wooden door frame standing in the wet floor.</t>
        </is>
      </c>
      <c r="C63" s="4" t="inlineStr">
        <is>
          <t>Use a WPC / FRP shutter with the frame on a granite or WPC block.</t>
        </is>
      </c>
      <c r="D63" s="4" t="inlineStr">
        <is>
          <t>A-401, A-502/9</t>
        </is>
      </c>
      <c r="E63" s="8" t="inlineStr"/>
    </row>
    <row r="64">
      <c r="A64" s="4" t="inlineStr">
        <is>
          <t>Bathrooms</t>
        </is>
      </c>
      <c r="B64" s="4" t="inlineStr">
        <is>
          <t>Exhaust fan blowing into the false ceiling.</t>
        </is>
      </c>
      <c r="C64" s="4" t="inlineStr">
        <is>
          <t>Duct the exhaust fan straight out through the outer wall.</t>
        </is>
      </c>
      <c r="D64" s="4" t="inlineStr">
        <is>
          <t>E-101</t>
        </is>
      </c>
      <c r="E64" s="8" t="inlineStr"/>
    </row>
    <row r="65">
      <c r="A65" s="4" t="inlineStr">
        <is>
          <t>Bathrooms</t>
        </is>
      </c>
      <c r="B65" s="4" t="inlineStr">
        <is>
          <t>Geyser hidden above the false ceiling, which can't be serviced.</t>
        </is>
      </c>
      <c r="C65" s="4" t="inlineStr">
        <is>
          <t>Wall-mount it at 6'-6" with the switch outside; leave a ceiling access panel at the concealed cistern.</t>
        </is>
      </c>
      <c r="D65" s="4" t="inlineStr">
        <is>
          <t>E-103</t>
        </is>
      </c>
      <c r="E65" s="8" t="inlineStr"/>
    </row>
    <row r="66">
      <c r="A66" s="4" t="inlineStr">
        <is>
          <t>Bathrooms</t>
        </is>
      </c>
      <c r="B66" s="4" t="inlineStr">
        <is>
          <t>Black or glossy tiles and chrome fittings with Guntur's hard water: white scale shows everywhere.</t>
        </is>
      </c>
      <c r="C66" s="4" t="inlineStr">
        <is>
          <t>Use light matt tiles and matt / PVD fittings, plus a softener if hardness is high.</t>
        </is>
      </c>
      <c r="D66" s="4" t="inlineStr">
        <is>
          <t>A-108, P-101</t>
        </is>
      </c>
      <c r="E66" s="8" t="inlineStr"/>
    </row>
    <row r="67">
      <c r="A67" s="4" t="inlineStr">
        <is>
          <t>Bathrooms</t>
        </is>
      </c>
      <c r="B67" s="4" t="inlineStr">
        <is>
          <t>Bath over a bedroom or the living: a leak shows on the ceiling below.</t>
        </is>
      </c>
      <c r="C67" s="4" t="inlineStr">
        <is>
          <t>The upper bath sits exactly over the common bath (wet over wet); waterproof its slab, flood-test it and keep its WC stack in the wet wall.</t>
        </is>
      </c>
      <c r="D67" s="4" t="inlineStr">
        <is>
          <t>A-109, P-101</t>
        </is>
      </c>
      <c r="E67" s="8" t="inlineStr"/>
    </row>
    <row r="68">
      <c r="A68" s="4" t="inlineStr">
        <is>
          <t>Bathrooms</t>
        </is>
      </c>
      <c r="B68" s="4" t="inlineStr">
        <is>
          <t>No backing for grab bars later.</t>
        </is>
      </c>
      <c r="C68" s="4" t="inlineStr">
        <is>
          <t>Fix blocking in the walls beside the WC and shower now.</t>
        </is>
      </c>
      <c r="D68" s="4" t="inlineStr">
        <is>
          <t>A-502/5</t>
        </is>
      </c>
      <c r="E68" s="8" t="inlineStr"/>
    </row>
    <row r="69">
      <c r="A69" s="4" t="inlineStr">
        <is>
          <t>Study table (small bedroom)</t>
        </is>
      </c>
      <c r="B69" s="4" t="inlineStr">
        <is>
          <t>Window behind the screen (silhouette on video calls) or in front of it (glare).</t>
        </is>
      </c>
      <c r="C69" s="4" t="inlineStr">
        <is>
          <t>The study table sits on the south wall with the north window to the side.</t>
        </is>
      </c>
      <c r="D69" s="4" t="inlineStr">
        <is>
          <t>A-104</t>
        </is>
      </c>
      <c r="E69" s="8" t="inlineStr"/>
    </row>
    <row r="70">
      <c r="A70" s="4" t="inlineStr">
        <is>
          <t>Study table (small bedroom)</t>
        </is>
      </c>
      <c r="B70" s="4" t="inlineStr">
        <is>
          <t>Not enough power or data.</t>
        </is>
      </c>
      <c r="C70" s="4" t="inlineStr">
        <is>
          <t>Fit a UPS socket, a normal socket and a Cat6 point at the table, with the router on the inverter.</t>
        </is>
      </c>
      <c r="D70" s="4" t="inlineStr">
        <is>
          <t>E-103</t>
        </is>
      </c>
      <c r="E70" s="8" t="inlineStr"/>
    </row>
    <row r="71">
      <c r="A71" s="4" t="inlineStr">
        <is>
          <t>Doors and windows</t>
        </is>
      </c>
      <c r="B71" s="4" t="inlineStr">
        <is>
          <t>Solid walls and closed doors between rooms: no breeze crosses the house at night.</t>
        </is>
      </c>
      <c r="C71" s="4" t="inlineStr">
        <is>
          <t>Put a vent above inner doors where privacy allows, 7'-6" to 9'-0": open jali for the pooja and the store.</t>
        </is>
      </c>
      <c r="D71" s="4" t="inlineStr">
        <is>
          <t>A-401</t>
        </is>
      </c>
      <c r="E71" s="8" t="inlineStr"/>
    </row>
    <row r="72">
      <c r="A72" s="4" t="inlineStr">
        <is>
          <t>Doors and windows</t>
        </is>
      </c>
      <c r="B72" s="4" t="inlineStr">
        <is>
          <t>Open vents above bedroom and bathroom doors: conversation, TV and smells carry.</t>
        </is>
      </c>
      <c r="C72" s="4" t="inlineStr">
        <is>
          <t>No vents at bedrooms (windows, fans and AC are enough) or bathrooms (the door's bottom louvre feeds the exhaust fan).</t>
        </is>
      </c>
      <c r="D72" s="4" t="inlineStr">
        <is>
          <t>A-401</t>
        </is>
      </c>
      <c r="E72" s="8" t="inlineStr"/>
    </row>
    <row r="73">
      <c r="A73" s="4" t="inlineStr">
        <is>
          <t>Doors and windows</t>
        </is>
      </c>
      <c r="B73" s="4" t="inlineStr">
        <is>
          <t>A long corridor that wastes area.</t>
        </is>
      </c>
      <c r="C73" s="4" t="inlineStr">
        <is>
          <t>Here the lobby is 10 x 3'-6" and the passage beside the stair is 2'-6" and only serves the small bedroom and the linen cupboard.</t>
        </is>
      </c>
      <c r="D73" s="4" t="inlineStr">
        <is>
          <t>A-106</t>
        </is>
      </c>
      <c r="E73" s="8" t="inlineStr"/>
    </row>
    <row r="74">
      <c r="A74" s="4" t="inlineStr">
        <is>
          <t>Doors and windows</t>
        </is>
      </c>
      <c r="B74" s="4" t="inlineStr">
        <is>
          <t>No drip groove under sills and sunshades: black streaks down the walls.</t>
        </is>
      </c>
      <c r="C74" s="4" t="inlineStr">
        <is>
          <t>Slope every external sill 1:10 with a drip groove, and give every chajja a drip groove under its edge.</t>
        </is>
      </c>
      <c r="D74" s="4" t="inlineStr">
        <is>
          <t>A-501/3</t>
        </is>
      </c>
      <c r="E74" s="8" t="inlineStr"/>
    </row>
    <row r="75">
      <c r="A75" s="4" t="inlineStr">
        <is>
          <t>Doors and windows</t>
        </is>
      </c>
      <c r="B75" s="4" t="inlineStr">
        <is>
          <t>Unseasoned teak that warps and jams.</t>
        </is>
      </c>
      <c r="C75" s="4" t="inlineStr">
        <is>
          <t>Use kiln-seasoned wood, or sal / pinkado frames and UPVC on the wet side.</t>
        </is>
      </c>
      <c r="D75" s="4" t="inlineStr">
        <is>
          <t>A-401</t>
        </is>
      </c>
      <c r="E75" s="8" t="inlineStr"/>
    </row>
    <row r="76">
      <c r="A76" s="4" t="inlineStr">
        <is>
          <t>Doors and windows</t>
        </is>
      </c>
      <c r="B76" s="4" t="inlineStr">
        <is>
          <t>Mild-steel hinges and screws that rust with humidity and hard water.</t>
        </is>
      </c>
      <c r="C76" s="4" t="inlineStr">
        <is>
          <t>Use SS 304 hardware, with magnetic stoppers on every door.</t>
        </is>
      </c>
      <c r="D76" s="4" t="inlineStr">
        <is>
          <t>A-401</t>
        </is>
      </c>
      <c r="E76" s="8" t="inlineStr"/>
    </row>
    <row r="77">
      <c r="A77" s="4" t="inlineStr">
        <is>
          <t>Doors and windows</t>
        </is>
      </c>
      <c r="B77" s="4" t="inlineStr">
        <is>
          <t>Grill with no openable section: no way out in a fire.</t>
        </is>
      </c>
      <c r="C77" s="4" t="inlineStr">
        <is>
          <t>Give each bedroom one escape window with an openable grill.</t>
        </is>
      </c>
      <c r="D77" s="4" t="inlineStr">
        <is>
          <t>A-401</t>
        </is>
      </c>
      <c r="E77" s="8" t="inlineStr"/>
    </row>
    <row r="78">
      <c r="A78" s="4" t="inlineStr">
        <is>
          <t>Floors, walls and finishes</t>
        </is>
      </c>
      <c r="B78" s="4" t="inlineStr">
        <is>
          <t>Skirting stuck on top of the plaster: a dust ledge that also chips.</t>
        </is>
      </c>
      <c r="C78" s="4" t="inlineStr">
        <is>
          <t>Set the skirting flush with the plaster face, with a groove above it.</t>
        </is>
      </c>
      <c r="D78" s="4" t="inlineStr">
        <is>
          <t>A-501/2</t>
        </is>
      </c>
      <c r="E78" s="8" t="inlineStr"/>
    </row>
    <row r="79">
      <c r="A79" s="4" t="inlineStr">
        <is>
          <t>Floors, walls and finishes</t>
        </is>
      </c>
      <c r="B79" s="4" t="inlineStr">
        <is>
          <t>Tiles laid tight to the walls: they pop up (tenting) in 45 C summers.</t>
        </is>
      </c>
      <c r="C79" s="4" t="inlineStr">
        <is>
          <t>Leave 5 mm gaps at walls and movement joints every 15-20 ft, hidden by the skirting.</t>
        </is>
      </c>
      <c r="D79" s="4" t="inlineStr">
        <is>
          <t>A-501/2, A-108</t>
        </is>
      </c>
      <c r="E79" s="8" t="inlineStr"/>
    </row>
    <row r="80">
      <c r="A80" s="4" t="inlineStr">
        <is>
          <t>Floors, walls and finishes</t>
        </is>
      </c>
      <c r="B80" s="4" t="inlineStr">
        <is>
          <t>Cement grout in bathrooms turns black.</t>
        </is>
      </c>
      <c r="C80" s="4" t="inlineStr">
        <is>
          <t>Use epoxy grout in wet areas.</t>
        </is>
      </c>
      <c r="D80" s="4" t="inlineStr">
        <is>
          <t>A-001</t>
        </is>
      </c>
      <c r="E80" s="8" t="inlineStr"/>
    </row>
    <row r="81">
      <c r="A81" s="4" t="inlineStr">
        <is>
          <t>Floors, walls and finishes</t>
        </is>
      </c>
      <c r="B81" s="4" t="inlineStr">
        <is>
          <t>Exterior paint that chalks and fades in strong sun.</t>
        </is>
      </c>
      <c r="C81" s="4" t="inlineStr">
        <is>
          <t>Use a waterproof plaster additive and elastomeric or UV-stable exterior paint.</t>
        </is>
      </c>
      <c r="D81" s="4" t="inlineStr">
        <is>
          <t>A-601</t>
        </is>
      </c>
      <c r="E81" s="8" t="inlineStr"/>
    </row>
    <row r="82">
      <c r="A82" s="4" t="inlineStr">
        <is>
          <t>Roof and rainwater</t>
        </is>
      </c>
      <c r="B82" s="4" t="inlineStr">
        <is>
          <t>Clay tiles just resting on battens: a cyclone strips the edges first.</t>
        </is>
      </c>
      <c r="C82" s="4" t="inlineStr">
        <is>
          <t>Clip or screw every eave, verge, hip and ridge tile, plus every third row elsewhere.</t>
        </is>
      </c>
      <c r="D82" s="4" t="inlineStr">
        <is>
          <t>A-110, A-501/4</t>
        </is>
      </c>
      <c r="E82" s="8" t="inlineStr"/>
    </row>
    <row r="83">
      <c r="A83" s="4" t="inlineStr">
        <is>
          <t>Roof and rainwater</t>
        </is>
      </c>
      <c r="B83" s="4" t="inlineStr">
        <is>
          <t>Water creeping back under the eave tiles and into the soffit.</t>
        </is>
      </c>
      <c r="C83" s="4" t="inlineStr">
        <is>
          <t>Use a fascia with drip-edge flashing turned down into the gutter, and raise the first tile row on a tilting fillet.</t>
        </is>
      </c>
      <c r="D83" s="4" t="inlineStr">
        <is>
          <t>A-501/4</t>
        </is>
      </c>
      <c r="E83" s="8" t="inlineStr"/>
    </row>
    <row r="84">
      <c r="A84" s="4" t="inlineStr">
        <is>
          <t>Roof and rainwater</t>
        </is>
      </c>
      <c r="B84" s="4" t="inlineStr">
        <is>
          <t>No gutters: roof water splashes the plinth and soaks the foundation.</t>
        </is>
      </c>
      <c r="C84" s="4" t="inlineStr">
        <is>
          <t>Gutters on both long eaves, downpipes into the sump filter; overflow to the road drain (no recharge pit near the walls on this narrow plot).</t>
        </is>
      </c>
      <c r="D84" s="4" t="inlineStr">
        <is>
          <t>A-110, P-101</t>
        </is>
      </c>
      <c r="E84" s="8" t="inlineStr"/>
    </row>
    <row r="85">
      <c r="A85" s="4" t="inlineStr">
        <is>
          <t>Roof and rainwater</t>
        </is>
      </c>
      <c r="B85" s="4" t="inlineStr">
        <is>
          <t>Where the low front roof meets the two-storey wall, and at the ventilator: joints sealed only with mortar.</t>
        </is>
      </c>
      <c r="C85" s="4" t="inlineStr">
        <is>
          <t>Use a metal apron flashing chased into the wall with a counter-flashing, and a 9 in upstand with flashing at the ventilator.</t>
        </is>
      </c>
      <c r="D85" s="4" t="inlineStr">
        <is>
          <t>A-110</t>
        </is>
      </c>
      <c r="E85" s="8" t="inlineStr"/>
    </row>
    <row r="86">
      <c r="A86" s="4" t="inlineStr">
        <is>
          <t>Roof and rainwater</t>
        </is>
      </c>
      <c r="B86" s="4" t="inlineStr">
        <is>
          <t>No insulation under Mangalore tiles: rooms radiate heat until midnight.</t>
        </is>
      </c>
      <c r="C86" s="4" t="inlineStr">
        <is>
          <t>Add 50 mm insulation on the deck, ventilate the attic at ridge and soffits, and fit insulated false ceilings in bedrooms.</t>
        </is>
      </c>
      <c r="D86" s="4" t="inlineStr">
        <is>
          <t>A-301, A-501/4</t>
        </is>
      </c>
      <c r="E86" s="8" t="inlineStr"/>
    </row>
    <row r="87">
      <c r="A87" s="4" t="inlineStr">
        <is>
          <t>Roof and rainwater</t>
        </is>
      </c>
      <c r="B87" s="4" t="inlineStr">
        <is>
          <t>Birds, bats and rats nesting in the roof.</t>
        </is>
      </c>
      <c r="C87" s="4" t="inlineStr">
        <is>
          <t>Bird stops at the eaves and mesh at ridge vents and soffits.</t>
        </is>
      </c>
      <c r="D87" s="4" t="inlineStr">
        <is>
          <t>A-501/4</t>
        </is>
      </c>
      <c r="E87" s="8" t="inlineStr"/>
    </row>
    <row r="88">
      <c r="A88" s="4" t="inlineStr">
        <is>
          <t>Electrical</t>
        </is>
      </c>
      <c r="B88" s="4" t="inlineStr">
        <is>
          <t>One circuit for everything; cheap wire.</t>
        </is>
      </c>
      <c r="C88" s="4" t="inlineStr">
        <is>
          <t>Separate MCBs for each AC, geyser, kitchen and pump; RCCB 30 mA; FR-LSH copper wire sized per load.</t>
        </is>
      </c>
      <c r="D88" s="4" t="inlineStr">
        <is>
          <t>E-103</t>
        </is>
      </c>
      <c r="E88" s="8" t="inlineStr"/>
    </row>
    <row r="89">
      <c r="A89" s="4" t="inlineStr">
        <is>
          <t>Electrical</t>
        </is>
      </c>
      <c r="B89" s="4" t="inlineStr">
        <is>
          <t>No inverter wiring planned, so it gets rewired later.</t>
        </is>
      </c>
      <c r="C89" s="4" t="inlineStr">
        <is>
          <t>Put lights, fans, office sockets and the router on a separate inverter circuit from day one.</t>
        </is>
      </c>
      <c r="D89" s="4" t="inlineStr">
        <is>
          <t>E-101, E-103</t>
        </is>
      </c>
      <c r="E89" s="8" t="inlineStr"/>
    </row>
    <row r="90">
      <c r="A90" s="4" t="inlineStr">
        <is>
          <t>Electrical</t>
        </is>
      </c>
      <c r="B90" s="4" t="inlineStr">
        <is>
          <t>AC drain pipe dripping down the wall and sleeves forgotten.</t>
        </is>
      </c>
      <c r="C90" s="4" t="inlineStr">
        <is>
          <t>Fit a 65 mm sleeve sloping out, a drain to a gully, and ODU brackets on shaded walls.</t>
        </is>
      </c>
      <c r="D90" s="4" t="inlineStr">
        <is>
          <t>E-103</t>
        </is>
      </c>
      <c r="E90" s="8" t="inlineStr"/>
    </row>
    <row r="91">
      <c r="A91" s="4" t="inlineStr">
        <is>
          <t>Electrical</t>
        </is>
      </c>
      <c r="B91" s="4" t="inlineStr">
        <is>
          <t>No spare conduits for solar PV, CCTV, the sump pump and gate.</t>
        </is>
      </c>
      <c r="C91" s="4" t="inlineStr">
        <is>
          <t>Run empty 25 mm conduits to the DB now; it costs little at this stage.</t>
        </is>
      </c>
      <c r="D91" s="4" t="inlineStr">
        <is>
          <t>E-103, A-110</t>
        </is>
      </c>
      <c r="E91" s="8" t="inlineStr"/>
    </row>
    <row r="92">
      <c r="A92" s="4" t="inlineStr">
        <is>
          <t>Plumbing and water</t>
        </is>
      </c>
      <c r="B92" s="4" t="inlineStr">
        <is>
          <t>Pipes buried under the floor slab: leaks can't be found without breaking tiles.</t>
        </is>
      </c>
      <c r="C92" s="4" t="inlineStr">
        <is>
          <t>Run supply lines along the outside walls in clamps or shallow chases, with a valve per room.</t>
        </is>
      </c>
      <c r="D92" s="4" t="inlineStr">
        <is>
          <t>P-101</t>
        </is>
      </c>
      <c r="E92" s="8" t="inlineStr"/>
    </row>
    <row r="93">
      <c r="A93" s="4" t="inlineStr">
        <is>
          <t>Plumbing and water</t>
        </is>
      </c>
      <c r="B93" s="4" t="inlineStr">
        <is>
          <t>Water tank too low over a first-floor shower: no pressure.</t>
        </is>
      </c>
      <c r="C93" s="4" t="inlineStr">
        <is>
          <t>A 1,000 L loft tank in the roof space over the upper bath, filled from the sump, plus a small pressure pump for the showers.</t>
        </is>
      </c>
      <c r="D93" s="4" t="inlineStr">
        <is>
          <t>P-101, A-110</t>
        </is>
      </c>
      <c r="E93" s="8" t="inlineStr"/>
    </row>
    <row r="94">
      <c r="A94" s="4" t="inlineStr">
        <is>
          <t>Plumbing and water</t>
        </is>
      </c>
      <c r="B94" s="4" t="inlineStr">
        <is>
          <t>All waste going into the septic tank, which overloads it.</t>
        </is>
      </c>
      <c r="C94" s="4" t="inlineStr">
        <is>
          <t>Keep soil and grey water separate: soil to the septic, grey to the soak pit or a road drain, with inspection chambers at every bend.</t>
        </is>
      </c>
      <c r="D94" s="4" t="inlineStr">
        <is>
          <t>P-101</t>
        </is>
      </c>
      <c r="E94" s="8" t="inlineStr"/>
    </row>
    <row r="95">
      <c r="A95" s="4" t="inlineStr">
        <is>
          <t>Plumbing and water</t>
        </is>
      </c>
      <c r="B95" s="4" t="inlineStr">
        <is>
          <t>Drinking borewell water without testing it (fluoride is common around Guntur).</t>
        </is>
      </c>
      <c r="C95" s="4" t="inlineStr">
        <is>
          <t>Test the water; RO at the kitchen for drinking, and a softener if hardness exceeds 300 mg/l.</t>
        </is>
      </c>
      <c r="D95" s="4" t="inlineStr">
        <is>
          <t>P-101</t>
        </is>
      </c>
      <c r="E95" s="8" t="inlineStr"/>
    </row>
    <row r="96">
      <c r="A96" s="4" t="inlineStr">
        <is>
          <t>Plumbing and water</t>
        </is>
      </c>
      <c r="B96" s="4" t="inlineStr">
        <is>
          <t>Sump lid at ground level: surface water and insects get in.</t>
        </is>
      </c>
      <c r="C96" s="4" t="inlineStr">
        <is>
          <t>Raise the sump cover 6 in above the paving with a locked, sealed lid, and keep it 20 ft+ from the septic.</t>
        </is>
      </c>
      <c r="D96" s="4" t="inlineStr">
        <is>
          <t>A-101</t>
        </is>
      </c>
      <c r="E96" s="8" t="inlineStr"/>
    </row>
    <row r="97">
      <c r="A97" s="4" t="inlineStr">
        <is>
          <t>Outside: yard, gate and garden</t>
        </is>
      </c>
      <c r="B97" s="4" t="inlineStr">
        <is>
          <t>Gate swinging out onto the road, or too narrow for two-wheelers.</t>
        </is>
      </c>
      <c r="C97" s="4" t="inlineStr">
        <is>
          <t>Use a 7 ft gate swinging inward or sliding, with the meter and bell in the pillar.</t>
        </is>
      </c>
      <c r="D97" s="4" t="inlineStr">
        <is>
          <t>A-101</t>
        </is>
      </c>
      <c r="E97" s="8" t="inlineStr"/>
    </row>
    <row r="98">
      <c r="A98" s="4" t="inlineStr">
        <is>
          <t>Outside: yard, gate and garden</t>
        </is>
      </c>
      <c r="B98" s="4" t="inlineStr">
        <is>
          <t>Two-wheeler bay with no slope: puddles.</t>
        </is>
      </c>
      <c r="C98" s="4" t="inlineStr">
        <is>
          <t>Pave it sloping 1:50 toward the road drain.</t>
        </is>
      </c>
      <c r="D98" s="4" t="inlineStr">
        <is>
          <t>A-101</t>
        </is>
      </c>
      <c r="E98" s="8" t="inlineStr"/>
    </row>
    <row r="99">
      <c r="A99" s="4" t="inlineStr">
        <is>
          <t>Outside: yard, gate and garden</t>
        </is>
      </c>
      <c r="B99" s="4" t="inlineStr">
        <is>
          <t>No outdoor drying space.</t>
        </is>
      </c>
      <c r="C99" s="4" t="inlineStr">
        <is>
          <t>A fold-away clothesline in the south walkway behind the master, and more room in the spare rear land; the first-floor lounge also dries clothes in the monsoon.</t>
        </is>
      </c>
      <c r="D99" s="4" t="inlineStr">
        <is>
          <t>A-104</t>
        </is>
      </c>
      <c r="E99" s="8" t="inlineStr"/>
    </row>
  </sheetData>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5" customWidth="1" min="1" max="1"/>
    <col width="22" customWidth="1" min="2" max="2"/>
    <col width="70" customWidth="1" min="3" max="3"/>
    <col width="24" customWidth="1" min="4" max="4"/>
    <col width="14" customWidth="1" min="5" max="5"/>
    <col width="30" customWidth="1" min="6" max="6"/>
  </cols>
  <sheetData>
    <row r="1" ht="30" customHeight="1">
      <c r="A1" s="3" t="inlineStr">
        <is>
          <t>#</t>
        </is>
      </c>
      <c r="B1" s="3" t="inlineStr">
        <is>
          <t>Stage</t>
        </is>
      </c>
      <c r="C1" s="3" t="inlineStr">
        <is>
          <t>Check before it is covered up</t>
        </is>
      </c>
      <c r="D1" s="3" t="inlineStr">
        <is>
          <t>Who signs off</t>
        </is>
      </c>
      <c r="E1" s="3" t="inlineStr">
        <is>
          <t>Date checked</t>
        </is>
      </c>
      <c r="F1" s="3" t="inlineStr">
        <is>
          <t>Photos / notes</t>
        </is>
      </c>
    </row>
    <row r="2">
      <c r="A2" s="4" t="n">
        <v>1</v>
      </c>
      <c r="B2" s="4" t="inlineStr">
        <is>
          <t>Before design freeze</t>
        </is>
      </c>
      <c r="C2" s="4" t="inlineStr">
        <is>
          <t>Soil test report, level survey of plot and road, water quality test (TDS, hardness, fluoride)</t>
        </is>
      </c>
      <c r="D2" s="4" t="inlineStr">
        <is>
          <t>Owner, engineer</t>
        </is>
      </c>
      <c r="E2" s="8" t="inlineStr"/>
      <c r="F2" s="8" t="inlineStr"/>
    </row>
    <row r="3">
      <c r="A3" s="4" t="n">
        <v>2</v>
      </c>
      <c r="B3" s="4" t="inlineStr">
        <is>
          <t>Excavation</t>
        </is>
      </c>
      <c r="C3" s="4" t="inlineStr">
        <is>
          <t>Footing depth and bearing layer seen in the pit; no black soil left under footings</t>
        </is>
      </c>
      <c r="D3" s="4" t="inlineStr">
        <is>
          <t>Structural engineer</t>
        </is>
      </c>
      <c r="E3" s="8" t="inlineStr"/>
      <c r="F3" s="8" t="inlineStr"/>
    </row>
    <row r="4">
      <c r="A4" s="4" t="n">
        <v>3</v>
      </c>
      <c r="B4" s="4" t="inlineStr">
        <is>
          <t>Before each concrete pour</t>
        </is>
      </c>
      <c r="C4" s="4" t="inlineStr">
        <is>
          <t>Reinforcement, cover blocks, laps and column positions checked; photos taken</t>
        </is>
      </c>
      <c r="D4" s="4" t="inlineStr">
        <is>
          <t>Engineer / site supervisor</t>
        </is>
      </c>
      <c r="E4" s="8" t="inlineStr"/>
      <c r="F4" s="8" t="inlineStr"/>
    </row>
    <row r="5">
      <c r="A5" s="4" t="n">
        <v>4</v>
      </c>
      <c r="B5" s="4" t="inlineStr">
        <is>
          <t>Plinth</t>
        </is>
      </c>
      <c r="C5" s="4" t="inlineStr">
        <is>
          <t>Anti-termite treatment (certificate), fill compaction, DPC laid and cured</t>
        </is>
      </c>
      <c r="D5" s="4" t="inlineStr">
        <is>
          <t>Supervisor</t>
        </is>
      </c>
      <c r="E5" s="8" t="inlineStr"/>
      <c r="F5" s="8" t="inlineStr"/>
    </row>
    <row r="6">
      <c r="A6" s="4" t="n">
        <v>5</v>
      </c>
      <c r="B6" s="4" t="inlineStr">
        <is>
          <t>Before plaster</t>
        </is>
      </c>
      <c r="C6" s="4" t="inlineStr">
        <is>
          <t>Conduits, pipes, AC sleeves, mesh over AAC joints; photos with a tape measure in view</t>
        </is>
      </c>
      <c r="D6" s="4" t="inlineStr">
        <is>
          <t>Owner, supervisor</t>
        </is>
      </c>
      <c r="E6" s="8" t="inlineStr"/>
      <c r="F6" s="8" t="inlineStr"/>
    </row>
    <row r="7">
      <c r="A7" s="4" t="n">
        <v>6</v>
      </c>
      <c r="B7" s="4" t="inlineStr">
        <is>
          <t>Wet rooms</t>
        </is>
      </c>
      <c r="C7" s="4" t="inlineStr">
        <is>
          <t>Waterproofing coats, upturns, 48 h flood test passed before any tile is laid</t>
        </is>
      </c>
      <c r="D7" s="4" t="inlineStr">
        <is>
          <t>Owner, plumber</t>
        </is>
      </c>
      <c r="E7" s="8" t="inlineStr"/>
      <c r="F7" s="8" t="inlineStr"/>
    </row>
    <row r="8">
      <c r="A8" s="4" t="n">
        <v>7</v>
      </c>
      <c r="B8" s="4" t="inlineStr">
        <is>
          <t>Roof</t>
        </is>
      </c>
      <c r="C8" s="4" t="inlineStr">
        <is>
          <t>Truss holding-down bolts, membrane and insulation, edge tiles clipped, flashings at the ventilator and valleys</t>
        </is>
      </c>
      <c r="D8" s="4" t="inlineStr">
        <is>
          <t>Engineer, owner</t>
        </is>
      </c>
      <c r="E8" s="8" t="inlineStr"/>
      <c r="F8" s="8" t="inlineStr"/>
    </row>
    <row r="9">
      <c r="A9" s="4" t="n">
        <v>8</v>
      </c>
      <c r="B9" s="4" t="inlineStr">
        <is>
          <t>Before handover</t>
        </is>
      </c>
      <c r="C9" s="4" t="inlineStr">
        <is>
          <t>Water test on every floor slope and sill, plumbing pressure test, electrical insulation and earth test</t>
        </is>
      </c>
      <c r="D9" s="4" t="inlineStr">
        <is>
          <t>Owner, MEP</t>
        </is>
      </c>
      <c r="E9" s="8" t="inlineStr"/>
      <c r="F9" s="8" t="inlineStr"/>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17"/>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80" customWidth="1" min="3" max="3"/>
    <col width="22" customWidth="1" min="4" max="4"/>
    <col width="18" customWidth="1" min="5" max="5"/>
  </cols>
  <sheetData>
    <row r="1" ht="30" customHeight="1">
      <c r="A1" s="3" t="inlineStr">
        <is>
          <t>#</t>
        </is>
      </c>
      <c r="B1" s="3" t="inlineStr">
        <is>
          <t>Category</t>
        </is>
      </c>
      <c r="C1" s="3" t="inlineStr">
        <is>
          <t>Issue</t>
        </is>
      </c>
      <c r="D1" s="3" t="inlineStr">
        <is>
          <t>Who resolves</t>
        </is>
      </c>
      <c r="E1" s="3" t="inlineStr">
        <is>
          <t>Status</t>
        </is>
      </c>
    </row>
    <row r="2">
      <c r="A2" s="4" t="n">
        <v>1</v>
      </c>
      <c r="B2" s="4" t="inlineStr">
        <is>
          <t>Option</t>
        </is>
      </c>
      <c r="C2" s="4" t="inlineStr">
        <is>
          <t>Duplex trial on the front 55 ft of the plot, back 20 ft spare: decide between this and the single-storey 62 ft plan (main branch) before structural design</t>
        </is>
      </c>
      <c r="D2" s="4" t="inlineStr">
        <is>
          <t>Owner</t>
        </is>
      </c>
      <c r="E2" s="8" t="inlineStr">
        <is>
          <t>Open</t>
        </is>
      </c>
    </row>
    <row r="3">
      <c r="A3" s="4" t="n">
        <v>2</v>
      </c>
      <c r="B3" s="4" t="inlineStr">
        <is>
          <t>Finishes</t>
        </is>
      </c>
      <c r="C3" s="4" t="inlineStr">
        <is>
          <t>Colour and material scheme to choose: five looks to compare in the 3D model (As drawn, Classic Kerala refined, Chettinad ochre, Modern tropical, Lime and green); decide before ordering floor tiles, paint and door finishes</t>
        </is>
      </c>
      <c r="D3" s="4" t="inlineStr">
        <is>
          <t>Owner</t>
        </is>
      </c>
      <c r="E3" s="8" t="inlineStr">
        <is>
          <t>Open</t>
        </is>
      </c>
    </row>
    <row r="4">
      <c r="A4" s="4" t="n">
        <v>3</v>
      </c>
      <c r="B4" s="4" t="inlineStr">
        <is>
          <t>Land</t>
        </is>
      </c>
      <c r="C4" s="4" t="inlineStr">
        <is>
          <t>Front yard 8 ft: confirm the front setback allowed for this plot and road width before finalising; a two-storey house may need larger setbacks than a single storey</t>
        </is>
      </c>
      <c r="D4" s="4" t="inlineStr">
        <is>
          <t>Architect</t>
        </is>
      </c>
      <c r="E4" s="8" t="inlineStr">
        <is>
          <t>Open</t>
        </is>
      </c>
    </row>
    <row r="5">
      <c r="A5" s="4" t="n">
        <v>4</v>
      </c>
      <c r="B5" s="4" t="inlineStr">
        <is>
          <t>Structure</t>
        </is>
      </c>
      <c r="C5" s="4" t="inlineStr">
        <is>
          <t>Two-storey RCC frame: columns, footings and the first-floor slab sized for two floors; the stair well; RCC column stubs at the terrace edge for the steel posts that carry the roof over the terrace</t>
        </is>
      </c>
      <c r="D5" s="4" t="inlineStr">
        <is>
          <t>Structural engineer</t>
        </is>
      </c>
      <c r="E5" s="8" t="inlineStr">
        <is>
          <t>Open</t>
        </is>
      </c>
    </row>
    <row r="6">
      <c r="A6" s="4" t="n">
        <v>5</v>
      </c>
      <c r="B6" s="4" t="inlineStr">
        <is>
          <t>Layout</t>
        </is>
      </c>
      <c r="C6" s="4" t="inlineStr">
        <is>
          <t>TV on the stair wall of the living (west), sofa facing west about 6'-6" away: confirm screen size (50 in) and a concealed HDMI/data conduit</t>
        </is>
      </c>
      <c r="D6" s="4" t="inlineStr">
        <is>
          <t>Owner</t>
        </is>
      </c>
      <c r="E6" s="8" t="inlineStr">
        <is>
          <t>Open</t>
        </is>
      </c>
    </row>
    <row r="7">
      <c r="A7" s="4" t="n">
        <v>6</v>
      </c>
      <c r="B7" s="4" t="inlineStr">
        <is>
          <t>Land</t>
        </is>
      </c>
      <c r="C7" s="4" t="inlineStr">
        <is>
          <t>Agricultural land: confirm conversion to non-agricultural use with the gram panchayat / collector (AP repealed the NALA Act in 2025; new process to be confirmed)</t>
        </is>
      </c>
      <c r="D7" s="4" t="inlineStr">
        <is>
          <t>Owner / surveyor</t>
        </is>
      </c>
      <c r="E7" s="8" t="inlineStr">
        <is>
          <t>Open</t>
        </is>
      </c>
    </row>
    <row r="8">
      <c r="A8" s="4" t="n">
        <v>7</v>
      </c>
      <c r="B8" s="4" t="inlineStr">
        <is>
          <t>Land</t>
        </is>
      </c>
      <c r="C8" s="4" t="inlineStr">
        <is>
          <t>Building permission route (panchayat vs DTCP / APCRDA via APDPMS) and setbacks under AP Building Rules 2017, including any height rule for two storeys</t>
        </is>
      </c>
      <c r="D8" s="4" t="inlineStr">
        <is>
          <t>Architect</t>
        </is>
      </c>
      <c r="E8" s="8" t="inlineStr">
        <is>
          <t>Open</t>
        </is>
      </c>
    </row>
    <row r="9">
      <c r="A9" s="4" t="n">
        <v>8</v>
      </c>
      <c r="B9" s="4" t="inlineStr">
        <is>
          <t>Soil</t>
        </is>
      </c>
      <c r="C9" s="4" t="inlineStr">
        <is>
          <t>Soil test (bore holes to 3 m min): black cotton soil is common in Guntur. Foundation type (isolated footings below active zone, under-reamed piles, or soil replacement) depends on it; two storeys raise the column loads</t>
        </is>
      </c>
      <c r="D9" s="4" t="inlineStr">
        <is>
          <t>Structural engineer</t>
        </is>
      </c>
      <c r="E9" s="8" t="inlineStr">
        <is>
          <t>Open</t>
        </is>
      </c>
    </row>
    <row r="10">
      <c r="A10" s="4" t="n">
        <v>9</v>
      </c>
      <c r="B10" s="4" t="inlineStr">
        <is>
          <t>Services</t>
        </is>
      </c>
      <c r="C10" s="4" t="inlineStr">
        <is>
          <t>Groundwater: test TDS, hardness, fluoride. Plan RO for drinking and a softener for bathrooms if hardness is high</t>
        </is>
      </c>
      <c r="D10" s="4" t="inlineStr">
        <is>
          <t>Plumber / owner</t>
        </is>
      </c>
      <c r="E10" s="8" t="inlineStr">
        <is>
          <t>Open</t>
        </is>
      </c>
    </row>
    <row r="11">
      <c r="A11" s="4" t="n">
        <v>10</v>
      </c>
      <c r="B11" s="4" t="inlineStr">
        <is>
          <t>Services</t>
        </is>
      </c>
      <c r="C11" s="4" t="inlineStr">
        <is>
          <t>Septic tank and soak pit in the spare rear land (percolation test for the soak pit size); if the back 20 ft is ever sold, move them or switch to a bio-digester with treated outflow</t>
        </is>
      </c>
      <c r="D11" s="4" t="inlineStr">
        <is>
          <t>Engineer</t>
        </is>
      </c>
      <c r="E11" s="8" t="inlineStr">
        <is>
          <t>Open</t>
        </is>
      </c>
    </row>
    <row r="12">
      <c r="A12" s="4" t="n">
        <v>11</v>
      </c>
      <c r="B12" s="4" t="inlineStr">
        <is>
          <t>Services</t>
        </is>
      </c>
      <c r="C12" s="4" t="inlineStr">
        <is>
          <t>Water tank: 1,000 L loft tank in the roof space over the upper bath, filled from the sump by pump, with a pressure pump for showers; confirm the truss carries it or put it on a steel platform off the slab</t>
        </is>
      </c>
      <c r="D12" s="4" t="inlineStr">
        <is>
          <t>Plumber / engineer</t>
        </is>
      </c>
      <c r="E12" s="8" t="inlineStr">
        <is>
          <t>Open</t>
        </is>
      </c>
    </row>
    <row r="13">
      <c r="A13" s="4" t="n">
        <v>12</v>
      </c>
      <c r="B13" s="4" t="inlineStr">
        <is>
          <t>Services</t>
        </is>
      </c>
      <c r="C13" s="4" t="inlineStr">
        <is>
          <t>Electrical load (with ACs), service connection size, earthing, inverter / solar PV</t>
        </is>
      </c>
      <c r="D13" s="4" t="inlineStr">
        <is>
          <t>Electrical engineer</t>
        </is>
      </c>
      <c r="E13" s="8" t="inlineStr">
        <is>
          <t>Open</t>
        </is>
      </c>
    </row>
    <row r="14">
      <c r="A14" s="4" t="n">
        <v>13</v>
      </c>
      <c r="B14" s="4" t="inlineStr">
        <is>
          <t>Vastu</t>
        </is>
      </c>
      <c r="C14" s="4" t="inlineStr">
        <is>
          <t>Master bedroom in the south-west with the bed head south; second master above it; kitchen in the south-east, stove on the east wall; pooja in the living's south-east corner back to back with the kitchen, opening west; stair in the north-west quarter rising clockwise; baths in the south band; living and main door on the east; the centre of the plot (Brahmasthan) falls in the living, kept free of walls and columns</t>
        </is>
      </c>
      <c r="D14" s="4" t="inlineStr">
        <is>
          <t>Vastu consultant</t>
        </is>
      </c>
      <c r="E14" s="8" t="inlineStr">
        <is>
          <t>To confirm</t>
        </is>
      </c>
    </row>
    <row r="15">
      <c r="A15" s="4" t="n">
        <v>14</v>
      </c>
      <c r="B15" s="4" t="inlineStr">
        <is>
          <t>Climate</t>
        </is>
      </c>
      <c r="C15" s="4" t="inlineStr">
        <is>
          <t>Covered terrace and lounge: deep shade from the main roof keeps the slab over the living cool; the upper master's west wall stays solid; chiks on the open west and south sides</t>
        </is>
      </c>
      <c r="D15" s="4" t="inlineStr">
        <is>
          <t>Architect</t>
        </is>
      </c>
      <c r="E15" s="8" t="inlineStr">
        <is>
          <t>Open</t>
        </is>
      </c>
    </row>
    <row r="16">
      <c r="A16" s="4" t="n">
        <v>15</v>
      </c>
      <c r="B16" s="4" t="inlineStr">
        <is>
          <t>Roof</t>
        </is>
      </c>
      <c r="C16" s="4" t="inlineStr">
        <is>
          <t>Covered terrace roof: tiles on steel trusses (drawn, matches the rest of the roof) or a cheaper insulated metal-sheet roof on the same steel frame; decide before the roof is ordered</t>
        </is>
      </c>
      <c r="D16" s="4" t="inlineStr">
        <is>
          <t>Owner / architect</t>
        </is>
      </c>
      <c r="E16" s="8" t="inlineStr">
        <is>
          <t>Open</t>
        </is>
      </c>
    </row>
    <row r="17">
      <c r="A17" s="4" t="n">
        <v>16</v>
      </c>
      <c r="B17" s="4" t="inlineStr">
        <is>
          <t>Levels</t>
        </is>
      </c>
      <c r="C17" s="4" t="inlineStr">
        <is>
          <t>Survey road and field levels; plinth at 2 ft above finished ground (raise if site floods)</t>
        </is>
      </c>
      <c r="D17" s="4" t="inlineStr">
        <is>
          <t>Surveyor / architect</t>
        </is>
      </c>
      <c r="E17" s="8" t="inlineStr">
        <is>
          <t>Open</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56"/>
  <sheetViews>
    <sheetView workbookViewId="0">
      <pane ySplit="1" topLeftCell="A2" activePane="bottomLeft" state="frozen"/>
      <selection pane="bottomLeft" activeCell="A1" sqref="A1"/>
    </sheetView>
  </sheetViews>
  <sheetFormatPr baseColWidth="8" defaultRowHeight="15"/>
  <cols>
    <col width="5" customWidth="1" min="1" max="1"/>
    <col width="110" customWidth="1" min="2" max="2"/>
  </cols>
  <sheetData>
    <row r="1" ht="30" customHeight="1">
      <c r="A1" s="3" t="inlineStr">
        <is>
          <t>#</t>
        </is>
      </c>
      <c r="B1" s="3" t="inlineStr">
        <is>
          <t>Decision (agreed in concept stage)</t>
        </is>
      </c>
    </row>
    <row r="2">
      <c r="A2" s="4" t="n">
        <v>1</v>
      </c>
      <c r="B2" s="4" t="inlineStr">
        <is>
          <t>Duplex option (branch feature/duplex): the house is planned on the front 55 ft of the plot (the back 20 ft stays spare land) as a 44 ft x 22 ft two-level house, 968 sq ft on the ground floor and about 330 sq ft enclosed on the first floor plus a covered outdoor lounge and a 16 x 22 ft covered terrace.</t>
        </is>
      </c>
    </row>
    <row r="3">
      <c r="A3" s="4" t="n">
        <v>2</v>
      </c>
      <c r="B3" s="4" t="inlineStr">
        <is>
          <t>No double height (changed after review): a slab covers the whole two-storey block, so the living, dining, kitchen, pooja, store and wet area all have flat ceilings at about 9'-5" and no dead space above the kitchen. Over the front half the first floor is a covered terrace, opening off the landing, with railings on three sides.</t>
        </is>
      </c>
    </row>
    <row r="4">
      <c r="A4" s="4" t="n">
        <v>3</v>
      </c>
      <c r="B4" s="4" t="inlineStr">
        <is>
          <t>Ground floor: master bedroom with its bath (south-west), small bedroom, common bath, lobby and a dog-leg stair seen from the living through a timber jali. First floor: upper master with a dressing room and bath, a landing, a passage, a covered outdoor lounge on the north side and the covered terrace.</t>
        </is>
      </c>
    </row>
    <row r="5">
      <c r="A5" s="4" t="n">
        <v>4</v>
      </c>
      <c r="B5" s="4" t="inlineStr">
        <is>
          <t>Roof: one hipped clay-tile roof over the two-storey block, carried on walls over the back rooms and on a light galvanised steel frame (posts and trusses) over the terrace, and a wide front gable (mukhappu) over the single-storey poomukham and kitchen front, so the house reads as a two-tier Kerala roof.</t>
        </is>
      </c>
    </row>
    <row r="6">
      <c r="A6" s="4" t="n">
        <v>5</v>
      </c>
      <c r="B6" s="4" t="inlineStr">
        <is>
          <t>All four bath fittings stack in the south band (two baths over two); the septic tank and soak pit move to the spare rear land behind the baths, freeing the front yard; the water tank goes into the roof space (no tank stand).</t>
        </is>
      </c>
    </row>
    <row r="7">
      <c r="A7" s="4" t="n">
        <v>6</v>
      </c>
      <c r="B7" s="4" t="inlineStr">
        <is>
          <t>Site is in Guntur, Andhra Pradesh (farm land), not Kerala; Kerala style kept, construction adapted to local climate and soil.</t>
        </is>
      </c>
    </row>
    <row r="8">
      <c r="A8" s="4" t="n">
        <v>7</v>
      </c>
      <c r="B8" s="4" t="inlineStr">
        <is>
          <t>RCC frame with AAC block walls: 9 in outer, 5 in inner, 7 in where plumbing is concealed.</t>
        </is>
      </c>
    </row>
    <row r="9">
      <c r="A9" s="4" t="n">
        <v>8</v>
      </c>
      <c r="B9" s="4" t="inlineStr">
        <is>
          <t>Plinth 2 ft above finished ground; poomukham 6 in lower; bathrooms 12 mm lower with no raised threshold.</t>
        </is>
      </c>
    </row>
    <row r="10">
      <c r="A10" s="4" t="n">
        <v>9</v>
      </c>
      <c r="B10" s="4" t="inlineStr">
        <is>
          <t>AC provisions (points, sleeves, drain, outdoor-unit brackets) in both bedrooms, the office and living; passive cooling first.</t>
        </is>
      </c>
    </row>
    <row r="11">
      <c r="A11" s="4" t="n">
        <v>10</v>
      </c>
      <c r="B11" s="4" t="inlineStr">
        <is>
          <t>Flat insulated false ceilings in bedrooms, offices, baths and kitchen; sloped ceilings in living, dining and verandah.</t>
        </is>
      </c>
    </row>
    <row r="12">
      <c r="A12" s="4" t="n">
        <v>11</v>
      </c>
      <c r="B12" s="4" t="inlineStr">
        <is>
          <t>No glass skylight: the dining gets borrowed daylight from the living, the nook window and the hall; a louvred ventilator lantern above it lets hot air out (no glass, so no greenhouse heat).</t>
        </is>
      </c>
    </row>
    <row r="13">
      <c r="A13" s="4" t="n">
        <v>12</v>
      </c>
      <c r="B13" s="4" t="inlineStr">
        <is>
          <t>Service band on south (heat buffer); bedrooms and living get north light.</t>
        </is>
      </c>
    </row>
    <row r="14">
      <c r="A14" s="4" t="n">
        <v>13</v>
      </c>
      <c r="B14" s="4" t="inlineStr">
        <is>
          <t>Kitchen in SE; stove on east wall; open wet area onto the walkway; provisions in bench drawers, kitchen cabinets and lofts (no separate store).</t>
        </is>
      </c>
    </row>
    <row r="15">
      <c r="A15" s="4" t="n">
        <v>14</v>
      </c>
      <c r="B15" s="4" t="inlineStr">
        <is>
          <t>Bedroom doors widened to 3 ft; bathroom, office and store doors 2 ft 6 in.</t>
        </is>
      </c>
    </row>
    <row r="16">
      <c r="A16" s="4" t="n">
        <v>15</v>
      </c>
      <c r="B16" s="4" t="inlineStr">
        <is>
          <t>Thirty-second review: TV back on the west wall of the hall (Bedroom 2's east wall), sofa facing west about 7'-6" away in the dining bay, coffee table between, the window seat shortened to 4 ft as side seating; the dining space under the ventilator is open again.</t>
        </is>
      </c>
    </row>
    <row r="17">
      <c r="A17" s="4" t="n">
        <v>16</v>
      </c>
      <c r="B17" s="4" t="inlineStr">
        <is>
          <t>Thirty-first review (front facade): gate re-centred on the main door with a 6 ft stone forecourt and the tulsi thara on the axis (gate, tulsi, steps, door, hall, lamp niche in one line); charupadi seats with sloping backrests between the verandah pillars, flanking the steps; carved teak barge boards and a brass kalasham finial on the front gable; the kitchen front clad in exposed laterite with a deep projecting teak frame to its window; carved teak main door with brass studs, a stone surround and a nameplate niche; warm uplights at the pillars, a lantern by the door and gate-post lights; low hedges screening the sump and the two-wheeler bay; a pair of potted palms beside the steps.</t>
        </is>
      </c>
    </row>
    <row r="18">
      <c r="A18" s="4" t="n">
        <v>17</v>
      </c>
      <c r="B18" s="4" t="inlineStr">
        <is>
          <t>Thirtieth review (proportion clean-up): windows standardised to three sizes (6 ft rooms, 3 ft small, 2 ft baths) with every head at 7 ft and three sill levels (3 ft rooms, 3'-6" over counters, 5 ft baths); sunshades only on the sunny south, east and west walls (the eaves shade the north); floors cut to three families plus the verandah (red oxide in all public rooms and the pooja, vitrified in bedrooms, anti-skid ceramic in kitchen, baths and wet area, granite on the verandah); services hidden (pipes in chases, outdoor units grouped behind jali on the north wall), switchboards aligned, warm layered lighting, handle-less built-in fronts.</t>
        </is>
      </c>
    </row>
    <row r="19">
      <c r="A19" s="4" t="n">
        <v>18</v>
      </c>
      <c r="B19" s="4" t="inlineStr">
        <is>
          <t>Twenty-ninth review: compound wall made as thin as practical: precast RCC post-and-panel (2 in panels in 4 in posts) set just inside the plot line, so the side strips stay walkable and the north run can be lifted and moved if more land is bought.</t>
        </is>
      </c>
    </row>
    <row r="20">
      <c r="A20" s="4" t="n">
        <v>19</v>
      </c>
      <c r="B20" s="4" t="inlineStr">
        <is>
          <t>Twenty-eighth review: TV lounge reworked: sofa brought forward to about 8 ft from the TV, a 3 ft walk behind it, and a built-in window seat (charupadi-style enclave) under the dining-bay window, so the sofa backs onto a quiet seating nook rather than the entrance and nobody walks in front of the TV.</t>
        </is>
      </c>
    </row>
    <row r="21">
      <c r="A21" s="4" t="n">
        <v>20</v>
      </c>
      <c r="B21" s="4" t="inlineStr">
        <is>
          <t>Twenty-seventh review: TV lounge moves to the open dining space under the ventilator: TV on the north face of the common-bath wall, sofa facing south with its back to the north window, so the main door is in side view, not behind (commanding position) and the TV no longer faces the main door; the dining bay becomes a reading / dining nook with a chair by the window.</t>
        </is>
      </c>
    </row>
    <row r="22">
      <c r="A22" s="4" t="n">
        <v>21</v>
      </c>
      <c r="B22" s="4" t="inlineStr">
        <is>
          <t>Twenty-sixth review: built-in ideas borrowed and adapted (function, not style, in Kerala materials): recessed shower niches, mirror cabinets over basins, genkan-style shoe bench with hooks and a granite threshold band, vilakku madam lamp niche facing the main door, floating bedside shelves (walls too thin for recesses), drawers-first kitchen with a masala pull-out and utensil rail, dish-drying rack over the utility sink, ceiling clothes airer in the wet area.</t>
        </is>
      </c>
    </row>
    <row r="23">
      <c r="A23" s="4" t="n">
        <v>22</v>
      </c>
      <c r="B23" s="4" t="inlineStr">
        <is>
          <t>Twenty-fifth review: main door moved 3'-4" south (y 17'-7" to 20'-7"), centred under the front gable and opening straight onto the 5 ft walk between the pooja and the diwan; shoe cupboard to its north on the east wall; window diwan back to 6 ft along the north window, out of the door's line; steps, middle verandah pillars and the swing realigned.</t>
        </is>
      </c>
    </row>
    <row r="24">
      <c r="A24" s="4" t="n">
        <v>23</v>
      </c>
      <c r="B24" s="4" t="inlineStr">
        <is>
          <t>Twenty-fourth review: planned on the 27 ft plot alone (north strip dropped for now): roof eaves cut from 2'-6" to 2'-0" so the north eave stays inside the plot line, septic tank moved under the two-wheeler bay in the front yard with a lined soak pit beside it, all drains rerouted along the south walkway to the front, rainwater to the sump with overflow to the road; north-strip trees and recharge pit removed.</t>
        </is>
      </c>
    </row>
    <row r="25">
      <c r="A25" s="4" t="n">
        <v>24</v>
      </c>
      <c r="B25" s="4" t="inlineStr">
        <is>
          <t>Twenty-third review: the fridge moves out of the kitchen into the dining alcove beside the kitchen door, against the wet-area wall; the kitchen's north wall is now free.</t>
        </is>
      </c>
    </row>
    <row r="26">
      <c r="A26" s="4" t="n">
        <v>25</v>
      </c>
      <c r="B26" s="4" t="inlineStr">
        <is>
          <t>Twenty-second review: the kitchen's tall pantry and the dining table and chairs are removed at the owner's request; the dining space under the ventilator stays open (the pendant light and points stay for a table later).</t>
        </is>
      </c>
    </row>
    <row r="27">
      <c r="A27" s="4" t="n">
        <v>26</v>
      </c>
      <c r="B27" s="4" t="inlineStr">
        <is>
          <t>Twenty-first review: the open hall becomes three zones: family TV lounge in the dining bay (5'-6" sofa facing the TV), dining under the ventilator moved 9 in south (about 2 ft behind the chairs on both sides), and guest sitting by the main door with a 4'-6" window diwan (shortened after the walk-through showed a 1'-6" pinch at the shoe cupboard) and an armchair under the living's north window; a clear walk of about 4'-11" from the main door to the dining and kitchen, pooja front kept clear.</t>
        </is>
      </c>
    </row>
    <row r="28">
      <c r="A28" s="4" t="n">
        <v>27</v>
      </c>
      <c r="B28" s="4" t="inlineStr">
        <is>
          <t>Twentieth review: Bedroom 2's bed moves to the east wall, head east, leaving an 8 x 14 ft open floor from the door to the bath and window; wardrobe to the west wall (sound buffer to the master), work table north of the bed, AC on the bath's outer wall; dresser dropped (mirror on the wardrobe).</t>
        </is>
      </c>
    </row>
    <row r="29">
      <c r="A29" s="4" t="n">
        <v>28</v>
      </c>
      <c r="B29" s="4" t="inlineStr">
        <is>
          <t>Nineteenth review: with Bedroom 2 at 17 ft, its bed turns head-south in the middle of the room (2 ft+ on both sides, under the jali); Bath 2 grows to 7' x 7' (6'-7" x 6'-4" clear) with a 3' x 3'-6" wet zone, basin in the dry zone and the door on its east wall; a dresser takes the west wall; work table and wardrobe stay on the east wall.</t>
        </is>
      </c>
    </row>
    <row r="30">
      <c r="A30" s="4" t="n">
        <v>29</v>
      </c>
      <c r="B30" s="4" t="inlineStr">
        <is>
          <t>Eighteenth review: house lengthened 2 ft to 62 ft, all of it added to Bedroom 2 (now 17 ft wide; the sitting area below it also gains 2 ft); front yard 10 ft to 8 ft (check the front setback). Bedroom 2 window back to 6 ft.</t>
        </is>
      </c>
    </row>
    <row r="31">
      <c r="A31" s="4" t="n">
        <v>30</v>
      </c>
      <c r="B31" s="4" t="inlineStr">
        <is>
          <t>Seventeenth review: sitting area gets a 5 ft tall storage cupboard on the south wall between the bench and the window; the hand-wash basin moves to the east end of the serving counter, just outside the common bath, for washing up after meals.</t>
        </is>
      </c>
    </row>
    <row r="32">
      <c r="A32" s="4" t="n">
        <v>31</v>
      </c>
      <c r="B32" s="4" t="inlineStr">
        <is>
          <t>Sixteenth review (independent Indian-architect review): Bath 2 re-planned 7' x 6' so Bedroom 2's bed (head west) has 1'-6" on both sides, work table to the east wall. Kitchen entered only from the dining-side door (hinged, 3 ft); the north sliding door is walled up so the pooja front is quiet, and a tall pantry takes the north wall. East kitchen window cut to 2 ft so the hob and chimney sit on solid wall. Septic tank moved 6 ft+ from the house and the soak pit replaced by a soak trench. Ensuite door opens outward; common bath WC side clearance 17 in, door rehung at the north jamb with a closer, geyser and shower off the window. DB moved to the dining face of Bedroom 2's east wall.</t>
        </is>
      </c>
    </row>
    <row r="33">
      <c r="A33" s="4" t="n">
        <v>32</v>
      </c>
      <c r="B33" s="4" t="inlineStr">
        <is>
          <t>Fifteenth review: TV moves to Bedroom 2's east wall facing the dining bay (the bay becomes the TV lounge; sofa faces west, living AC above the TV). Master bed moves 3'-10" south toward the bay, freeing a 9 x 7 ft zone by the north window and ensuite door with a window seat. Bedroom 2's door moves to the east end of its south wall. Bath 2's door moves to its east wall (basin to its south wall) so Bedroom 2's bed sits in the strip between the bath and the sitting area, head west on the master wall, leaving the middle of the room open.</t>
        </is>
      </c>
    </row>
    <row r="34">
      <c r="A34" s="4" t="n">
        <v>33</v>
      </c>
      <c r="B34" s="4" t="inlineStr">
        <is>
          <t>Fourteenth review (designer review): Bath 2 moves into Bedroom 2's own north-west corner, made 5'-6" x 7'-6" (about 5'-0" x 6'-11" clear) for a 3' x 3'-6" wet zone and a WC with 15 in each side and the master gets back its full room, bed position and 6 ft window. Bath doors open outward (common bath door moved to the sitting-area side, off the dining). Pooja moves 3'-6" south, back to back with the kitchen, with doors opening inward; the fridge moves into the kitchen; a shoe cupboard takes the freed wall beside the main door. Second kitchen door (sliding) straight to the dining. Bedroom 2's south-east corner is notched 1' x 1'-6" so the way from the dining into the sitting area is about 4'-2" instead of 3'-3"; Bedroom 2 gets a real queen bed, a 6 ft window and a high jali vent to the sitting area. Handrail at the entrance steps, grab bars in the baths.</t>
        </is>
      </c>
    </row>
    <row r="35">
      <c r="A35" s="4" t="n">
        <v>34</v>
      </c>
      <c r="B35" s="4" t="inlineStr">
        <is>
          <t>Common bath widened to 6'-6" x 6' (about 6'-0" x 5'-5" clear: 3 x 3 ft shower, WC and basin on the wet wall) by taking 1'-6" from the east end of the sitting area; serving counter now 6 ft.</t>
        </is>
      </c>
    </row>
    <row r="36">
      <c r="A36" s="4" t="n">
        <v>35</v>
      </c>
      <c r="B36" s="4" t="inlineStr">
        <is>
          <t>Twelfth review: Bath 2 becomes a common bath in the old pooja bay beside the wet area (5 x 6 ft, door from the sitting area, WC and basin on the shared wet wall, drains straight to the south walkway); Bedroom 2 is a clean room with no attached bath; wet area narrowed to 5 ft. Hall kept on the south so bedrooms keep their north windows.</t>
        </is>
      </c>
    </row>
    <row r="37">
      <c r="A37" s="4" t="n">
        <v>36</v>
      </c>
      <c r="B37" s="4" t="inlineStr">
        <is>
          <t>Eleventh review: the corner between the pooja and the kitchen becomes part of the kitchen and holds the fridge; the kitchen entrance moves from the dining side to the north (3 ft sliding glass door from the living); the old fridge spot extends the south counter.</t>
        </is>
      </c>
    </row>
    <row r="38">
      <c r="A38" s="4" t="n">
        <v>37</v>
      </c>
      <c r="B38" s="4" t="inlineStr">
        <is>
          <t>Tenth review: main door moved to the north end of the east wall and the pooja 3'-6" north with it, freeing the living's south-east corner beside the kitchen; verandah steps, pillars and swing realigned to the door; TV taken off the east wall (new position open).</t>
        </is>
      </c>
    </row>
    <row r="39">
      <c r="A39" s="4" t="n">
        <v>38</v>
      </c>
      <c r="B39" s="4" t="inlineStr">
        <is>
          <t>Ninth review: pooja moved to the east side, in the living's south-east corner beside the main door and back to back with the kitchen (4 x 4 ft, opens west, idols face west, family faces east). Main door moved 2'-4" north and the TV unit trimmed to suit; the old pooja bay joins the sitting area.</t>
        </is>
      </c>
    </row>
    <row r="40">
      <c r="A40" s="4" t="n">
        <v>39</v>
      </c>
      <c r="B40" s="4" t="inlineStr">
        <is>
          <t>Eighth review: plot 5 ft longer, so the house grows to 60 ft. The master stays 9'-6" x 14' (bay 7 x 8 ft, full-width wardrobe, light from the workstation window; the bay's own south window dropped). Bedroom 2 grows to 15 ft wide, the sitting area to 20 x 7'-6" (Bedroom 2 gives up 1'-6" of depth, now 15 x 14'-6") and the dining to 11 ft; the plot centre now falls in the dining, west of the ventilator (Vastu to confirm).</t>
        </is>
      </c>
    </row>
    <row r="41">
      <c r="A41" s="4" t="n">
        <v>40</v>
      </c>
      <c r="B41" s="4" t="inlineStr">
        <is>
          <t>Seventh review: Bedroom 2 enlarged to 12 x 16 ft by taking the hall strip; its door opens from the sitting area (as the master suite does); hand-wash basin back at the west end of the serving counter.</t>
        </is>
      </c>
    </row>
    <row r="42">
      <c r="A42" s="4" t="n">
        <v>41</v>
      </c>
      <c r="B42" s="4" t="inlineStr">
        <is>
          <t>Sixth review: Office 2 walls and sliding door left out for now (open workstation in the master suite, walls can be added later); Bedroom 2 becomes a study-guest room: work table with monitor beside the bath, sofa-cum-bed instead of a queen bed.</t>
        </is>
      </c>
    </row>
    <row r="43">
      <c r="A43" s="4" t="n">
        <v>42</v>
      </c>
      <c r="B43" s="4" t="inlineStr">
        <is>
          <t>Office 1 removed after family review: one office (Office 2) inside the master suite; Bedroom 2 has its own work desk.</t>
        </is>
      </c>
    </row>
    <row r="44">
      <c r="A44" s="4" t="n">
        <v>43</v>
      </c>
      <c r="B44" s="4" t="inlineStr">
        <is>
          <t>Common bathroom moved to the north side (old pooja spot), entered from the dining corner next to the hall.</t>
        </is>
      </c>
    </row>
    <row r="45">
      <c r="A45" s="4" t="n">
        <v>44</v>
      </c>
      <c r="B45" s="4" t="inlineStr">
        <is>
          <t>Second family review: store (8 x 8 ft) moved next to the bedrooms; pooja reduced to a small shrine opening onto the hall (idols face east); wet area moved west (9 x 8 ft); kitchen 14 x 10 ft with a 5 ft sliding entry from the living; dining gains a basin and crockery nook with a south window; TV moved to the living room's east wall.</t>
        </is>
      </c>
    </row>
    <row r="46">
      <c r="A46" s="4" t="n">
        <v>45</v>
      </c>
      <c r="B46" s="4" t="inlineStr">
        <is>
          <t>Pooja moved beside the wet area and opened to the west (idols face west, the family sits in the nook facing east); shared wall kept dry with no pipes, pooja floor 3 in higher; basin nook shifted west.</t>
        </is>
      </c>
    </row>
    <row r="47">
      <c r="A47" s="4" t="n">
        <v>46</v>
      </c>
      <c r="B47" s="4" t="inlineStr">
        <is>
          <t>Fifth review: Bedroom 2 made one 12 x 12 ft rectangle with a rectangular private bath (north-west corner, outer wall) and its wardrobe on the east wall; the leftover corner at the hall's west end is an open hand-wash corner; serving counter now 9 ft without a basin.</t>
        </is>
      </c>
    </row>
    <row r="48">
      <c r="A48" s="4" t="n">
        <v>47</v>
      </c>
      <c r="B48" s="4" t="inlineStr">
        <is>
          <t>Fourth review: Bath 2 made Bedroom 2's private bath (no common toilet); master suite entered through its bay from the sitting area; the old Bath 2 spot opens to the dining with a north window; family store merged back into the master bedroom as a wardrobe bay; inverter under the sitting-area bench.</t>
        </is>
      </c>
    </row>
    <row r="49">
      <c r="A49" s="4" t="n">
        <v>48</v>
      </c>
      <c r="B49" s="4" t="inlineStr">
        <is>
          <t>Earlier: walk-in wardrobe turned into a family store with a lockable door from the sitting area (inverter inside); built-in sliding wardrobes in the dressing alcove and on the master bedroom's south wall.</t>
        </is>
      </c>
    </row>
    <row r="50">
      <c r="A50" s="4" t="n">
        <v>49</v>
      </c>
      <c r="B50" s="4" t="inlineStr">
        <is>
          <t>Store wall removed: the strip from the walk-in to the pooja is one open sitting and serving area with a storage bench; hand-wash basin set into the west end of the serving counter, about 8 ft from the pooja, draining straight out to the south walkway.</t>
        </is>
      </c>
    </row>
    <row r="51">
      <c r="A51" s="4" t="n">
        <v>50</v>
      </c>
      <c r="B51" s="4" t="inlineStr">
        <is>
          <t>Wet area reduced to 6 x 6 ft and left open on its south side to the walkway (service route from the kitchen to the back of the house); kitchen door moved to face the dining (3 ft sliding glass); basin nook widened to 8 ft with a 6 ft serving counter.</t>
        </is>
      </c>
    </row>
    <row r="52">
      <c r="A52" s="4" t="n">
        <v>51</v>
      </c>
      <c r="B52" s="4" t="inlineStr">
        <is>
          <t>Main door moved to the south part of the living's east wall (still north of the house's centre line); TV on the north part of that wall; steps, swing and arugu seats rearranged on the poomukham.</t>
        </is>
      </c>
    </row>
    <row r="53">
      <c r="A53" s="4" t="n">
        <v>52</v>
      </c>
      <c r="B53" s="4" t="inlineStr">
        <is>
          <t>Third review: hall widened to about 6 ft clear (store, pooja and basin nook made 6 ft deep) so the family can sit facing the pooja; store left open to the hall for now (a wall and door can be added later); broom closet dropped, tall utility cupboard in the wet area instead.</t>
        </is>
      </c>
    </row>
    <row r="54">
      <c r="A54" s="4" t="n">
        <v>53</v>
      </c>
      <c r="B54" s="4" t="inlineStr">
        <is>
          <t>Earlier: hall widened to 4 ft clear (Bedroom 2 gives up 6 in); vents above the office, walk-in, store, pooja and kitchen doors; none at bedrooms or bathrooms (sound privacy).</t>
        </is>
      </c>
    </row>
    <row r="55">
      <c r="A55" s="4" t="n">
        <v>54</v>
      </c>
      <c r="B55" s="4" t="inlineStr">
        <is>
          <t>Ensuite widened by 1'-6" into the master (about 6'-0" x 7'-4" clear); dressing widened by the same strip; master now 9'-6" x 14'-0".</t>
        </is>
      </c>
    </row>
    <row r="56">
      <c r="A56" s="4" t="n">
        <v>55</v>
      </c>
      <c r="B56" s="4" t="inlineStr">
        <is>
          <t>Roof: Mangalore clay tiles on steel truss over insulated cement-fibre deck; all edge tiles mechanically fixed.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2026-11-01T18:16:31Z</dcterms:created>
  <dcterms:modified xsi:type="dcterms:W3CDTF">2026-11-01T18:16:31Z</dcterms:modified>
</cp:coreProperties>
</file>