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6</v>
      </c>
      <c r="F7" s="5">
        <f>D7*E7</f>
        <v/>
      </c>
      <c r="G7" s="5">
        <f>F7*0.092903</f>
        <v/>
      </c>
      <c r="H7" s="5" t="n">
        <v>6.5</v>
      </c>
      <c r="I7" s="5" t="n">
        <v>5.33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15</v>
      </c>
      <c r="E9" s="4" t="n">
        <v>14.5</v>
      </c>
      <c r="F9" s="5">
        <f>D9*E9</f>
        <v/>
      </c>
      <c r="G9" s="5">
        <f>F9*0.092903</f>
        <v/>
      </c>
      <c r="H9" s="5" t="n">
        <v>14.58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18.5</v>
      </c>
      <c r="E13" s="4" t="n">
        <v>7.5</v>
      </c>
      <c r="F13" s="5">
        <f>D13*E13</f>
        <v/>
      </c>
      <c r="G13" s="5">
        <f>F13*0.092903</f>
        <v/>
      </c>
      <c r="H13" s="5" t="n">
        <v>18.08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60' x 22' = 1,320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 open leaf screens the bed)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5.2</v>
      </c>
      <c r="E13" s="9" t="n">
        <v>3</v>
      </c>
      <c r="F13" s="9" t="n">
        <v>7</v>
      </c>
      <c r="G13" s="9">
        <f>F13-E13</f>
        <v/>
      </c>
      <c r="H13" s="4" t="inlineStr">
        <is>
          <t>Teak casement, glazed (5'-2")</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2'-9" wet zone (north-east), beside the door</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west wall, between the bath and the sitting area (1'-6" each side)</t>
        </is>
      </c>
      <c r="D21" s="4" t="inlineStr">
        <is>
          <t>Loose furniture</t>
        </is>
      </c>
      <c r="E21" s="4" t="n">
        <v>6.4</v>
      </c>
      <c r="F21" s="4" t="n">
        <v>5</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1.1</v>
      </c>
      <c r="F22" s="4" t="n">
        <v>1.1</v>
      </c>
      <c r="G22" s="4" t="n">
        <v>2</v>
      </c>
      <c r="H22" s="4" t="inlineStr">
        <is>
          <t>Teak</t>
        </is>
      </c>
      <c r="I22" s="10" t="n"/>
      <c r="J22" s="11">
        <f>G22*I22</f>
        <v/>
      </c>
      <c r="K22" s="8" t="inlineStr"/>
      <c r="L22" s="8" t="inlineStr"/>
    </row>
    <row r="23">
      <c r="A23" s="4" t="inlineStr">
        <is>
          <t>F22</t>
        </is>
      </c>
      <c r="B23" s="4" t="inlineStr">
        <is>
          <t>Bedroom 2</t>
        </is>
      </c>
      <c r="C23" s="4" t="inlineStr">
        <is>
          <t>Work table 4' x 2' with monitor (east wall, south of the wardrobe)</t>
        </is>
      </c>
      <c r="D23" s="4" t="inlineStr">
        <is>
          <t>Built-in joinery</t>
        </is>
      </c>
      <c r="E23" s="4" t="n">
        <v>2</v>
      </c>
      <c r="F23" s="4" t="n">
        <v>4</v>
      </c>
      <c r="G23" s="4" t="n">
        <v>1</v>
      </c>
      <c r="H23" s="4" t="inlineStr">
        <is>
          <t>Teak / ply, cable tray, monitor arm</t>
        </is>
      </c>
      <c r="I23" s="10" t="n"/>
      <c r="J23" s="11">
        <f>G23*I23</f>
        <v/>
      </c>
      <c r="K23" s="8" t="inlineStr"/>
      <c r="L23" s="8" t="inlineStr"/>
    </row>
    <row r="24">
      <c r="A24" s="4" t="inlineStr">
        <is>
          <t>F23</t>
        </is>
      </c>
      <c r="B24" s="4" t="inlineStr">
        <is>
          <t>Bedroom 2</t>
        </is>
      </c>
      <c r="C24" s="4" t="inlineStr">
        <is>
          <t>Built-in wardrobe 6' (east wall, toward the house centre)</t>
        </is>
      </c>
      <c r="D24" s="4" t="inlineStr">
        <is>
          <t>Built-in joinery</t>
        </is>
      </c>
      <c r="E24" s="4" t="n">
        <v>1.8</v>
      </c>
      <c r="F24" s="4" t="n">
        <v>6</v>
      </c>
      <c r="G24" s="4" t="n">
        <v>1</v>
      </c>
      <c r="H24" s="4" t="inlineStr">
        <is>
          <t>Ply + laminate</t>
        </is>
      </c>
      <c r="I24" s="10" t="n"/>
      <c r="J24" s="11">
        <f>G24*I24</f>
        <v/>
      </c>
      <c r="K24" s="8" t="inlineStr"/>
      <c r="L24" s="8" t="inlineStr"/>
    </row>
    <row r="25">
      <c r="A25" s="4" t="inlineStr">
        <is>
          <t>F24</t>
        </is>
      </c>
      <c r="B25" s="4" t="inlineStr">
        <is>
          <t>Dining</t>
        </is>
      </c>
      <c r="C25" s="4" t="inlineStr">
        <is>
          <t>Dining table 5' x 3', 6-seat</t>
        </is>
      </c>
      <c r="D25" s="4" t="inlineStr">
        <is>
          <t>Loose furniture</t>
        </is>
      </c>
      <c r="E25" s="4" t="n">
        <v>5</v>
      </c>
      <c r="F25" s="4" t="n">
        <v>3</v>
      </c>
      <c r="G25" s="4" t="n">
        <v>1</v>
      </c>
      <c r="H25" s="4" t="inlineStr">
        <is>
          <t>Teak or rosewood</t>
        </is>
      </c>
      <c r="I25" s="10" t="n"/>
      <c r="J25" s="11">
        <f>G25*I25</f>
        <v/>
      </c>
      <c r="K25" s="8" t="inlineStr"/>
      <c r="L25" s="8" t="inlineStr"/>
    </row>
    <row r="26">
      <c r="A26" s="4" t="inlineStr">
        <is>
          <t>F25</t>
        </is>
      </c>
      <c r="B26" s="4" t="inlineStr">
        <is>
          <t>Dining</t>
        </is>
      </c>
      <c r="C26" s="4" t="inlineStr">
        <is>
          <t>Dining chair</t>
        </is>
      </c>
      <c r="D26" s="4" t="inlineStr">
        <is>
          <t>Loose furniture</t>
        </is>
      </c>
      <c r="E26" s="4" t="n">
        <v>1.1</v>
      </c>
      <c r="F26" s="4" t="n">
        <v>1</v>
      </c>
      <c r="G26" s="4" t="n">
        <v>6</v>
      </c>
      <c r="H26" s="4" t="inlineStr">
        <is>
          <t>Teak + cane</t>
        </is>
      </c>
      <c r="I26" s="10" t="n"/>
      <c r="J26" s="11">
        <f>G26*I26</f>
        <v/>
      </c>
      <c r="K26" s="8" t="inlineStr"/>
      <c r="L26" s="8" t="inlineStr"/>
    </row>
    <row r="27">
      <c r="A27" s="4" t="inlineStr">
        <is>
          <t>F26</t>
        </is>
      </c>
      <c r="B27" s="4" t="inlineStr">
        <is>
          <t>Pooja</t>
        </is>
      </c>
      <c r="C27" s="4" t="inlineStr">
        <is>
          <t>Pooja mandapam on the east wall (idols face west; family faces east)</t>
        </is>
      </c>
      <c r="D27" s="4" t="inlineStr">
        <is>
          <t>Built-in joinery</t>
        </is>
      </c>
      <c r="E27" s="4" t="n">
        <v>0.6</v>
      </c>
      <c r="F27" s="4" t="n">
        <v>3</v>
      </c>
      <c r="G27" s="4" t="n">
        <v>1</v>
      </c>
      <c r="H27" s="4" t="inlineStr">
        <is>
          <t>Carved teak</t>
        </is>
      </c>
      <c r="I27" s="10" t="n"/>
      <c r="J27" s="11">
        <f>G27*I27</f>
        <v/>
      </c>
      <c r="K27" s="8" t="inlineStr"/>
      <c r="L27" s="8" t="inlineStr"/>
    </row>
    <row r="28">
      <c r="A28" s="4" t="inlineStr">
        <is>
          <t>F28</t>
        </is>
      </c>
      <c r="B28" s="4" t="inlineStr">
        <is>
          <t>Sitting and serving area</t>
        </is>
      </c>
      <c r="C28" s="4" t="inlineStr">
        <is>
          <t>Built-in bench with storage drawers below</t>
        </is>
      </c>
      <c r="D28" s="4" t="inlineStr">
        <is>
          <t>Loose furniture</t>
        </is>
      </c>
      <c r="E28" s="4" t="n">
        <v>1.5</v>
      </c>
      <c r="F28" s="4" t="n">
        <v>2.8</v>
      </c>
      <c r="G28" s="4" t="n">
        <v>1</v>
      </c>
      <c r="H28" s="4" t="inlineStr">
        <is>
          <t>Teak top, ply drawers, on legs</t>
        </is>
      </c>
      <c r="I28" s="10" t="n"/>
      <c r="J28" s="11">
        <f>G28*I28</f>
        <v/>
      </c>
      <c r="K28" s="8" t="inlineStr"/>
      <c r="L28" s="8" t="inlineStr"/>
    </row>
    <row r="29">
      <c r="A29" s="4" t="inlineStr">
        <is>
          <t>F29</t>
        </is>
      </c>
      <c r="B29" s="4" t="inlineStr">
        <is>
          <t>Wet area</t>
        </is>
      </c>
      <c r="C29" s="4" t="inlineStr">
        <is>
          <t>Utility sink counter (on the kitchen wall)</t>
        </is>
      </c>
      <c r="D29" s="4" t="inlineStr">
        <is>
          <t>Sanitary / plumbing</t>
        </is>
      </c>
      <c r="E29" s="4" t="n">
        <v>1.7</v>
      </c>
      <c r="F29" s="4" t="n">
        <v>2.5</v>
      </c>
      <c r="G29" s="4" t="n">
        <v>1</v>
      </c>
      <c r="H29" s="4" t="inlineStr">
        <is>
          <t>Kadappa / granite, SS sinks</t>
        </is>
      </c>
      <c r="I29" s="10" t="n"/>
      <c r="J29" s="11">
        <f>G29*I29</f>
        <v/>
      </c>
      <c r="K29" s="8" t="inlineStr"/>
      <c r="L29" s="8" t="inlineStr"/>
    </row>
    <row r="30">
      <c r="A30" s="4" t="inlineStr">
        <is>
          <t>F30</t>
        </is>
      </c>
      <c r="B30" s="4" t="inlineStr">
        <is>
          <t>Wet area</t>
        </is>
      </c>
      <c r="C30" s="4" t="inlineStr">
        <is>
          <t>Washing machine bay 2' x 2' (covered back corner, 2 in clear of the bath wall)</t>
        </is>
      </c>
      <c r="D30" s="4" t="inlineStr">
        <is>
          <t>Appliance / joinery</t>
        </is>
      </c>
      <c r="E30" s="4" t="n">
        <v>1.9</v>
      </c>
      <c r="F30" s="4" t="n">
        <v>1.9</v>
      </c>
      <c r="G30" s="4" t="n">
        <v>1</v>
      </c>
      <c r="H30" s="4" t="inlineStr">
        <is>
          <t>Splash-proof socket, floor drain</t>
        </is>
      </c>
      <c r="I30" s="10" t="n"/>
      <c r="J30" s="11">
        <f>G30*I30</f>
        <v/>
      </c>
      <c r="K30" s="8" t="inlineStr"/>
      <c r="L30" s="8" t="inlineStr"/>
    </row>
    <row r="31">
      <c r="A31" s="4" t="inlineStr">
        <is>
          <t>F31</t>
        </is>
      </c>
      <c r="B31" s="4" t="inlineStr">
        <is>
          <t>Wet area</t>
        </is>
      </c>
      <c r="C31" s="4" t="inlineStr">
        <is>
          <t>Fold-away clothesline in the south walkway</t>
        </is>
      </c>
      <c r="D31" s="4" t="inlineStr">
        <is>
          <t>Loose furniture</t>
        </is>
      </c>
      <c r="E31" s="4" t="n">
        <v>4</v>
      </c>
      <c r="F31" s="4" t="n">
        <v>1.8</v>
      </c>
      <c r="G31" s="4" t="n">
        <v>1</v>
      </c>
      <c r="H31" s="4" t="inlineStr">
        <is>
          <t>SS wire, wall brackets</t>
        </is>
      </c>
      <c r="I31" s="10" t="n"/>
      <c r="J31" s="11">
        <f>G31*I31</f>
        <v/>
      </c>
      <c r="K31" s="8" t="inlineStr"/>
      <c r="L31" s="8" t="inlineStr"/>
    </row>
    <row r="32">
      <c r="A32" s="4" t="inlineStr">
        <is>
          <t>F44</t>
        </is>
      </c>
      <c r="B32" s="4" t="inlineStr">
        <is>
          <t>Wet area</t>
        </is>
      </c>
      <c r="C32" s="4" t="inlineStr">
        <is>
          <t>Tall slim utility cupboard (brooms, mops, detergents)</t>
        </is>
      </c>
      <c r="D32" s="4" t="inlineStr">
        <is>
          <t>Built-in joinery</t>
        </is>
      </c>
      <c r="E32" s="4" t="n">
        <v>1.2</v>
      </c>
      <c r="F32" s="4" t="n">
        <v>1.2</v>
      </c>
      <c r="G32" s="4" t="n">
        <v>1</v>
      </c>
      <c r="H32" s="4" t="inlineStr">
        <is>
          <t>Ply + laminate on legs, louvred doors</t>
        </is>
      </c>
      <c r="I32" s="10" t="n"/>
      <c r="J32" s="11">
        <f>G32*I32</f>
        <v/>
      </c>
      <c r="K32" s="8" t="inlineStr"/>
      <c r="L32" s="8" t="inlineStr"/>
    </row>
    <row r="33">
      <c r="A33" s="4" t="inlineStr">
        <is>
          <t>F32</t>
        </is>
      </c>
      <c r="B33" s="4" t="inlineStr">
        <is>
          <t>Sitting and serving area</t>
        </is>
      </c>
      <c r="C33" s="4" t="inlineStr">
        <is>
          <t>Counter-top wash basin at the west end of the serving counter</t>
        </is>
      </c>
      <c r="D33" s="4" t="inlineStr">
        <is>
          <t>Sanitary / plumbing</t>
        </is>
      </c>
      <c r="E33" s="4" t="n">
        <v>1.9</v>
      </c>
      <c r="F33" s="4" t="n">
        <v>2</v>
      </c>
      <c r="G33" s="4" t="n">
        <v>1</v>
      </c>
      <c r="H33" s="4" t="inlineStr">
        <is>
          <t>Ceramic basin in granite top</t>
        </is>
      </c>
      <c r="I33" s="10" t="n"/>
      <c r="J33" s="11">
        <f>G33*I33</f>
        <v/>
      </c>
      <c r="K33" s="8" t="inlineStr"/>
      <c r="L33" s="8" t="inlineStr"/>
    </row>
    <row r="34">
      <c r="A34" s="4" t="inlineStr">
        <is>
          <t>F33</t>
        </is>
      </c>
      <c r="B34" s="4" t="inlineStr">
        <is>
          <t>Sitting and serving area</t>
        </is>
      </c>
      <c r="C34" s="4" t="inlineStr">
        <is>
          <t>Serving counter with crockery cabinets above, 6 ft</t>
        </is>
      </c>
      <c r="D34" s="4" t="inlineStr">
        <is>
          <t>Built-in joinery</t>
        </is>
      </c>
      <c r="E34" s="4" t="n">
        <v>6</v>
      </c>
      <c r="F34" s="4" t="n">
        <v>2</v>
      </c>
      <c r="G34" s="4" t="n">
        <v>1</v>
      </c>
      <c r="H34" s="4" t="inlineStr">
        <is>
          <t>Granite top, teak + glass shutters</t>
        </is>
      </c>
      <c r="I34" s="10" t="n"/>
      <c r="J34" s="11">
        <f>G34*I34</f>
        <v/>
      </c>
      <c r="K34" s="8" t="inlineStr"/>
      <c r="L34" s="8" t="inlineStr"/>
    </row>
    <row r="35">
      <c r="A35" s="4" t="inlineStr">
        <is>
          <t>F34</t>
        </is>
      </c>
      <c r="B35" s="4" t="inlineStr">
        <is>
          <t>Kitchen</t>
        </is>
      </c>
      <c r="C35" s="4" t="inlineStr">
        <is>
          <t>L-counter, south run</t>
        </is>
      </c>
      <c r="D35" s="4" t="inlineStr">
        <is>
          <t>Built-in joinery</t>
        </is>
      </c>
      <c r="E35" s="4" t="n">
        <v>13.2</v>
      </c>
      <c r="F35" s="4" t="n">
        <v>2</v>
      </c>
      <c r="G35" s="4" t="n">
        <v>1</v>
      </c>
      <c r="H35" s="4" t="inlineStr">
        <is>
          <t>Granite top, ply carcass</t>
        </is>
      </c>
      <c r="I35" s="10" t="n"/>
      <c r="J35" s="11">
        <f>G35*I35</f>
        <v/>
      </c>
      <c r="K35" s="8" t="inlineStr"/>
      <c r="L35" s="8" t="inlineStr"/>
    </row>
    <row r="36">
      <c r="A36" s="4" t="inlineStr">
        <is>
          <t>F35</t>
        </is>
      </c>
      <c r="B36" s="4" t="inlineStr">
        <is>
          <t>Kitchen</t>
        </is>
      </c>
      <c r="C36" s="4" t="inlineStr">
        <is>
          <t>L-counter, east run (hob centred 7'-6" from the south wall face, on solid wall)</t>
        </is>
      </c>
      <c r="D36" s="4" t="inlineStr">
        <is>
          <t>Built-in joinery</t>
        </is>
      </c>
      <c r="E36" s="4" t="n">
        <v>2</v>
      </c>
      <c r="F36" s="4" t="n">
        <v>7</v>
      </c>
      <c r="G36" s="4" t="n">
        <v>1</v>
      </c>
      <c r="H36" s="4" t="inlineStr">
        <is>
          <t>Granite top, cook faces east</t>
        </is>
      </c>
      <c r="I36" s="10" t="n"/>
      <c r="J36" s="11">
        <f>G36*I36</f>
        <v/>
      </c>
      <c r="K36" s="8" t="inlineStr"/>
      <c r="L36" s="8" t="inlineStr"/>
    </row>
    <row r="37">
      <c r="A37" s="4" t="inlineStr">
        <is>
          <t>F36</t>
        </is>
      </c>
      <c r="B37" s="4" t="inlineStr">
        <is>
          <t>Kitchen</t>
        </is>
      </c>
      <c r="C37" s="4" t="inlineStr">
        <is>
          <t>Refrigerator space (kitchen north wall, behind the pooja, door facing south)</t>
        </is>
      </c>
      <c r="D37" s="4" t="inlineStr">
        <is>
          <t>Appliance / joinery</t>
        </is>
      </c>
      <c r="E37" s="4" t="n">
        <v>2.5</v>
      </c>
      <c r="F37" s="4" t="n">
        <v>2.4</v>
      </c>
      <c r="G37" s="4" t="n">
        <v>1</v>
      </c>
      <c r="H37" s="4" t="inlineStr">
        <is>
          <t>Double-door, 2'6" wide</t>
        </is>
      </c>
      <c r="I37" s="10" t="n"/>
      <c r="J37" s="11">
        <f>G37*I37</f>
        <v/>
      </c>
      <c r="K37" s="8" t="inlineStr"/>
      <c r="L37" s="8" t="inlineStr"/>
    </row>
    <row r="38">
      <c r="A38" s="4" t="inlineStr">
        <is>
          <t>F55</t>
        </is>
      </c>
      <c r="B38" s="4" t="inlineStr">
        <is>
          <t>Kitchen</t>
        </is>
      </c>
      <c r="C38" s="4" t="inlineStr">
        <is>
          <t>Tall pantry 4'-5" x 2' on the north wall (provisions, rice, vessels)</t>
        </is>
      </c>
      <c r="D38" s="4" t="inlineStr">
        <is>
          <t>Loose furniture</t>
        </is>
      </c>
      <c r="E38" s="4" t="n">
        <v>4.4</v>
      </c>
      <c r="F38" s="4" t="n">
        <v>2</v>
      </c>
      <c r="G38" s="4" t="n">
        <v>1</v>
      </c>
      <c r="H38" s="4" t="inlineStr">
        <is>
          <t>Ply + laminate, full height with loft</t>
        </is>
      </c>
      <c r="I38" s="10" t="n"/>
      <c r="J38" s="11">
        <f>G38*I38</f>
        <v/>
      </c>
      <c r="K38" s="8" t="inlineStr"/>
      <c r="L38" s="8" t="inlineStr"/>
    </row>
    <row r="39">
      <c r="A39" s="4" t="inlineStr">
        <is>
          <t>F38</t>
        </is>
      </c>
      <c r="B39" s="4" t="inlineStr">
        <is>
          <t>Dining bay</t>
        </is>
      </c>
      <c r="C39" s="4" t="inlineStr">
        <is>
          <t>Three-seat sofa 6'6" facing west to the TV</t>
        </is>
      </c>
      <c r="D39" s="4" t="inlineStr">
        <is>
          <t>Loose furniture</t>
        </is>
      </c>
      <c r="E39" s="4" t="n">
        <v>2.7</v>
      </c>
      <c r="F39" s="4" t="n">
        <v>5.9</v>
      </c>
      <c r="G39" s="4" t="n">
        <v>1</v>
      </c>
      <c r="H39" s="4" t="inlineStr">
        <is>
          <t>Teak frame, cotton cushions</t>
        </is>
      </c>
      <c r="I39" s="10" t="n"/>
      <c r="J39" s="11">
        <f>G39*I39</f>
        <v/>
      </c>
      <c r="K39" s="8" t="inlineStr"/>
      <c r="L39" s="8" t="inlineStr"/>
    </row>
    <row r="40">
      <c r="A40" s="4" t="inlineStr">
        <is>
          <t>F39</t>
        </is>
      </c>
      <c r="B40" s="4" t="inlineStr">
        <is>
          <t>Dining bay</t>
        </is>
      </c>
      <c r="C40" s="4" t="inlineStr">
        <is>
          <t>Coffee table 3'6" x 2'</t>
        </is>
      </c>
      <c r="D40" s="4" t="inlineStr">
        <is>
          <t>Loose furniture</t>
        </is>
      </c>
      <c r="E40" s="4" t="n">
        <v>2</v>
      </c>
      <c r="F40" s="4" t="n">
        <v>3.5</v>
      </c>
      <c r="G40" s="4" t="n">
        <v>1</v>
      </c>
      <c r="H40" s="4" t="inlineStr">
        <is>
          <t>Teak</t>
        </is>
      </c>
      <c r="I40" s="10" t="n"/>
      <c r="J40" s="11">
        <f>G40*I40</f>
        <v/>
      </c>
      <c r="K40" s="8" t="inlineStr"/>
      <c r="L40" s="8" t="inlineStr"/>
    </row>
    <row r="41">
      <c r="A41" s="4" t="inlineStr">
        <is>
          <t>F53</t>
        </is>
      </c>
      <c r="B41" s="4" t="inlineStr">
        <is>
          <t>Dining bay</t>
        </is>
      </c>
      <c r="C41" s="4" t="inlineStr">
        <is>
          <t>TV unit 4'-5" on Bedroom 2's east wall (55-65 in TV wall-mounted above)</t>
        </is>
      </c>
      <c r="D41" s="4" t="inlineStr">
        <is>
          <t>Appliance / joinery</t>
        </is>
      </c>
      <c r="E41" s="4" t="n">
        <v>1.3</v>
      </c>
      <c r="F41" s="4" t="n">
        <v>4.4</v>
      </c>
      <c r="G41" s="4" t="n">
        <v>1</v>
      </c>
      <c r="H41" s="4" t="inlineStr">
        <is>
          <t>Teak, low, open shelves</t>
        </is>
      </c>
      <c r="I41" s="10" t="n"/>
      <c r="J41" s="11">
        <f>G41*I41</f>
        <v/>
      </c>
      <c r="K41" s="8" t="inlineStr"/>
      <c r="L41" s="8" t="inlineStr"/>
    </row>
    <row r="42">
      <c r="A42" s="4" t="inlineStr">
        <is>
          <t>F40</t>
        </is>
      </c>
      <c r="B42" s="4" t="inlineStr">
        <is>
          <t>Living</t>
        </is>
      </c>
      <c r="C42" s="4" t="inlineStr">
        <is>
          <t>Armchair by the north window</t>
        </is>
      </c>
      <c r="D42" s="4" t="inlineStr">
        <is>
          <t>Loose furniture</t>
        </is>
      </c>
      <c r="E42" s="4" t="n">
        <v>2</v>
      </c>
      <c r="F42" s="4" t="n">
        <v>1.6</v>
      </c>
      <c r="G42" s="4" t="n">
        <v>1</v>
      </c>
      <c r="H42" s="4" t="inlineStr">
        <is>
          <t>Cane / teak</t>
        </is>
      </c>
      <c r="I42" s="10" t="n"/>
      <c r="J42" s="11">
        <f>G42*I42</f>
        <v/>
      </c>
      <c r="K42" s="8" t="inlineStr"/>
      <c r="L42" s="8" t="inlineStr"/>
    </row>
    <row r="43">
      <c r="A43" s="4" t="inlineStr">
        <is>
          <t>F52</t>
        </is>
      </c>
      <c r="B43" s="4" t="inlineStr">
        <is>
          <t>Living</t>
        </is>
      </c>
      <c r="C43" s="4" t="inlineStr">
        <is>
          <t>Shoe cupboard 3'-3" beside the main door (closed shutters, louvred for air)</t>
        </is>
      </c>
      <c r="D43" s="4" t="inlineStr">
        <is>
          <t>Built-in joinery</t>
        </is>
      </c>
      <c r="E43" s="4" t="n">
        <v>1.2</v>
      </c>
      <c r="F43" s="4" t="n">
        <v>3.2</v>
      </c>
      <c r="G43" s="4" t="n">
        <v>1</v>
      </c>
      <c r="H43" s="4" t="inlineStr">
        <is>
          <t>Ply + laminate, 14 in deep</t>
        </is>
      </c>
      <c r="I43" s="10" t="n"/>
      <c r="J43" s="11">
        <f>G43*I43</f>
        <v/>
      </c>
      <c r="K43" s="8" t="inlineStr"/>
      <c r="L43" s="8" t="inlineStr"/>
    </row>
    <row r="44">
      <c r="A44" s="4" t="inlineStr">
        <is>
          <t>F41</t>
        </is>
      </c>
      <c r="B44" s="4" t="inlineStr">
        <is>
          <t>Poomukham (verandah)</t>
        </is>
      </c>
      <c r="C44" s="4" t="inlineStr">
        <is>
          <t>Oonjal (swing) 3'6"</t>
        </is>
      </c>
      <c r="D44" s="4" t="inlineStr">
        <is>
          <t>Loose furniture</t>
        </is>
      </c>
      <c r="E44" s="4" t="n">
        <v>3.5</v>
      </c>
      <c r="F44" s="4" t="n">
        <v>1.5</v>
      </c>
      <c r="G44" s="4" t="n">
        <v>1</v>
      </c>
      <c r="H44" s="4" t="inlineStr">
        <is>
          <t>Teak, chains to beam</t>
        </is>
      </c>
      <c r="I44" s="10" t="n"/>
      <c r="J44" s="11">
        <f>G44*I44</f>
        <v/>
      </c>
      <c r="K44" s="8" t="inlineStr"/>
      <c r="L44" s="8" t="inlineStr"/>
    </row>
    <row r="45">
      <c r="A45" s="4" t="inlineStr">
        <is>
          <t>F42</t>
        </is>
      </c>
      <c r="B45" s="4" t="inlineStr">
        <is>
          <t>Poomukham (verandah)</t>
        </is>
      </c>
      <c r="C45" s="4" t="inlineStr">
        <is>
          <t>Arugu seat (built-in, south end)</t>
        </is>
      </c>
      <c r="D45" s="4" t="inlineStr">
        <is>
          <t>Built-in joinery</t>
        </is>
      </c>
      <c r="E45" s="4" t="n">
        <v>1.2</v>
      </c>
      <c r="F45" s="4" t="n">
        <v>2.4</v>
      </c>
      <c r="G45" s="4" t="n">
        <v>1</v>
      </c>
      <c r="H45" s="4" t="inlineStr">
        <is>
          <t>Laterite base, teak top</t>
        </is>
      </c>
      <c r="I45" s="10" t="n"/>
      <c r="J45" s="11">
        <f>G45*I45</f>
        <v/>
      </c>
      <c r="K45" s="8" t="inlineStr"/>
      <c r="L45" s="8" t="inlineStr"/>
    </row>
    <row r="46">
      <c r="A46" s="6" t="inlineStr"/>
      <c r="B46" s="6" t="inlineStr"/>
      <c r="C46" s="6" t="inlineStr">
        <is>
          <t>Total</t>
        </is>
      </c>
      <c r="D46" s="6" t="inlineStr"/>
      <c r="E46" s="6" t="inlineStr"/>
      <c r="F46" s="6" t="inlineStr"/>
      <c r="G46" s="6">
        <f>SUM(G2:G45)</f>
        <v/>
      </c>
      <c r="H46" s="6" t="inlineStr"/>
      <c r="I46" s="12" t="inlineStr"/>
      <c r="J46" s="12">
        <f>SUM(J2:J45)</f>
        <v/>
      </c>
      <c r="K46" s="6" t="inlineStr"/>
      <c r="L46"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22.35</v>
      </c>
      <c r="D2" s="4" t="inlineStr">
        <is>
          <t>cu m</t>
        </is>
      </c>
      <c r="E2" s="4" t="inlineStr">
        <is>
          <t>Net of openings, FFL to beam soffit</t>
        </is>
      </c>
      <c r="F2" s="10" t="n"/>
      <c r="G2" s="11">
        <f>IF(F2="","",C2*F2)</f>
        <v/>
      </c>
    </row>
    <row r="3">
      <c r="A3" s="4" t="inlineStr">
        <is>
          <t>Walls</t>
        </is>
      </c>
      <c r="B3" s="4" t="inlineStr">
        <is>
          <t>AAC blocks, 150 mm wet walls</t>
        </is>
      </c>
      <c r="C3" s="4" t="n">
        <v>3.47</v>
      </c>
      <c r="D3" s="4" t="inlineStr">
        <is>
          <t>cu m</t>
        </is>
      </c>
      <c r="E3" s="4" t="inlineStr">
        <is>
          <t>Net of openings, FFL to beam soffit</t>
        </is>
      </c>
      <c r="F3" s="10" t="n"/>
      <c r="G3" s="11">
        <f>IF(F3="","",C3*F3)</f>
        <v/>
      </c>
    </row>
    <row r="4">
      <c r="A4" s="4" t="inlineStr">
        <is>
          <t>Walls</t>
        </is>
      </c>
      <c r="B4" s="4" t="inlineStr">
        <is>
          <t>AAC blocks, 100 mm inner walls</t>
        </is>
      </c>
      <c r="C4" s="4" t="n">
        <v>6.02</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87.59999999999999</v>
      </c>
      <c r="D5" s="4" t="inlineStr">
        <is>
          <t>m</t>
        </is>
      </c>
      <c r="E5" s="4" t="inlineStr">
        <is>
          <t>Along all walls; sizes by engineer</t>
        </is>
      </c>
      <c r="F5" s="10" t="n"/>
      <c r="G5" s="11">
        <f>IF(F5="","",C5*F5)</f>
        <v/>
      </c>
    </row>
    <row r="6">
      <c r="A6" s="4" t="inlineStr">
        <is>
          <t>Walls</t>
        </is>
      </c>
      <c r="B6" s="4" t="inlineStr">
        <is>
          <t>Internal plaster</t>
        </is>
      </c>
      <c r="C6" s="4" t="n">
        <v>278.7</v>
      </c>
      <c r="D6" s="4" t="inlineStr">
        <is>
          <t>sq m</t>
        </is>
      </c>
      <c r="E6" s="4" t="inlineStr">
        <is>
          <t>Both faces of inner walls, inner face of outer walls</t>
        </is>
      </c>
      <c r="F6" s="10" t="n"/>
      <c r="G6" s="11">
        <f>IF(F6="","",C6*F6)</f>
        <v/>
      </c>
    </row>
    <row r="7">
      <c r="A7" s="4" t="inlineStr">
        <is>
          <t>Walls</t>
        </is>
      </c>
      <c r="B7" s="4" t="inlineStr">
        <is>
          <t>External plaster (waterproof)</t>
        </is>
      </c>
      <c r="C7" s="4" t="n">
        <v>142.9</v>
      </c>
      <c r="D7" s="4" t="inlineStr">
        <is>
          <t>sq m</t>
        </is>
      </c>
      <c r="E7" s="4" t="inlineStr">
        <is>
          <t>Outer walls + plinth face</t>
        </is>
      </c>
      <c r="F7" s="10" t="n"/>
      <c r="G7" s="11">
        <f>IF(F7="","",C7*F7)</f>
        <v/>
      </c>
    </row>
    <row r="8">
      <c r="A8" s="4" t="inlineStr">
        <is>
          <t>Floors</t>
        </is>
      </c>
      <c r="B8" s="4" t="inlineStr">
        <is>
          <t>Matt vitrified 2x2</t>
        </is>
      </c>
      <c r="C8" s="4" t="n">
        <v>44.5</v>
      </c>
      <c r="D8" s="4" t="inlineStr">
        <is>
          <t>sq m</t>
        </is>
      </c>
      <c r="E8" s="4" t="inlineStr">
        <is>
          <t>Clear room areas; add 5-8% wastage</t>
        </is>
      </c>
      <c r="F8" s="10" t="n"/>
      <c r="G8" s="11">
        <f>IF(F8="","",C8*F8)</f>
        <v/>
      </c>
    </row>
    <row r="9">
      <c r="A9" s="4" t="inlineStr">
        <is>
          <t>Floors</t>
        </is>
      </c>
      <c r="B9" s="4" t="inlineStr">
        <is>
          <t>Anti-skid ceramic, waterproofed</t>
        </is>
      </c>
      <c r="C9" s="4" t="n">
        <v>10.3</v>
      </c>
      <c r="D9" s="4" t="inlineStr">
        <is>
          <t>sq m</t>
        </is>
      </c>
      <c r="E9" s="4" t="inlineStr">
        <is>
          <t>Clear room areas; add 5-8% wastage</t>
        </is>
      </c>
      <c r="F9" s="10" t="n"/>
      <c r="G9" s="11">
        <f>IF(F9="","",C9*F9)</f>
        <v/>
      </c>
    </row>
    <row r="10">
      <c r="A10" s="4" t="inlineStr">
        <is>
          <t>Floors</t>
        </is>
      </c>
      <c r="B10" s="4" t="inlineStr">
        <is>
          <t>Red oxide / Kota stone</t>
        </is>
      </c>
      <c r="C10" s="4" t="n">
        <v>37.4</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110.5</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13.8</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8.800000000000001</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188.3</v>
      </c>
      <c r="D24" s="4" t="inlineStr">
        <is>
          <t>sq m</t>
        </is>
      </c>
      <c r="E24" s="4" t="inlineStr">
        <is>
          <t>Hip outline / cos 30 deg; add ~8% for gable and laps</t>
        </is>
      </c>
      <c r="F24" s="10" t="n"/>
      <c r="G24" s="11">
        <f>IF(F24="","",C24*F24)</f>
        <v/>
      </c>
    </row>
    <row r="25">
      <c r="A25" s="4" t="inlineStr">
        <is>
          <t>Roof</t>
        </is>
      </c>
      <c r="B25" s="4" t="inlineStr">
        <is>
          <t>Gutters</t>
        </is>
      </c>
      <c r="C25" s="4" t="n">
        <v>39.6</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34.9</v>
      </c>
      <c r="D27" s="4" t="inlineStr">
        <is>
          <t>m</t>
        </is>
      </c>
      <c r="E27" s="4" t="inlineStr">
        <is>
          <t>Approximate</t>
        </is>
      </c>
      <c r="F27" s="10" t="n"/>
      <c r="G27" s="11">
        <f>IF(F27="","",C27*F27)</f>
        <v/>
      </c>
    </row>
    <row r="28">
      <c r="A28" s="4" t="inlineStr">
        <is>
          <t>Site</t>
        </is>
      </c>
      <c r="B28" s="4" t="inlineStr">
        <is>
          <t>Plinth protection apron, 3 ft wide</t>
        </is>
      </c>
      <c r="C28" s="4" t="n">
        <v>49.9</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22.5</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3"/>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21.8</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25.3</v>
      </c>
      <c r="F35" s="4" t="n">
        <v>19.4</v>
      </c>
      <c r="G35" s="4" t="inlineStr">
        <is>
          <t>by basin</t>
        </is>
      </c>
    </row>
    <row r="36">
      <c r="A36" s="4" t="inlineStr">
        <is>
          <t>S</t>
        </is>
      </c>
      <c r="B36" s="4" t="inlineStr">
        <is>
          <t>Switchboard</t>
        </is>
      </c>
      <c r="C36" s="4" t="inlineStr">
        <is>
          <t>4'-0"</t>
        </is>
      </c>
      <c r="D36" s="4" t="inlineStr">
        <is>
          <t>Bedroom 2</t>
        </is>
      </c>
      <c r="E36" s="4" t="n">
        <v>28.4</v>
      </c>
      <c r="F36" s="4" t="n">
        <v>22.2</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57</v>
      </c>
      <c r="F38" s="4" t="n">
        <v>15</v>
      </c>
      <c r="G38" s="4" t="inlineStr"/>
    </row>
    <row r="39">
      <c r="A39" s="4" t="inlineStr">
        <is>
          <t>WL</t>
        </is>
      </c>
      <c r="B39" s="4" t="inlineStr">
        <is>
          <t>Wall light / mirror light</t>
        </is>
      </c>
      <c r="C39" s="4" t="inlineStr">
        <is>
          <t>6'-6"</t>
        </is>
      </c>
      <c r="D39" s="4" t="inlineStr">
        <is>
          <t>Pooja</t>
        </is>
      </c>
      <c r="E39" s="4" t="n">
        <v>58.4</v>
      </c>
      <c r="F39" s="4" t="n">
        <v>15</v>
      </c>
      <c r="G39" s="4" t="inlineStr">
        <is>
          <t>lamp niche above the idols</t>
        </is>
      </c>
    </row>
    <row r="40">
      <c r="A40" s="4" t="inlineStr">
        <is>
          <t>P</t>
        </is>
      </c>
      <c r="B40" s="4" t="inlineStr">
        <is>
          <t>6 A socket</t>
        </is>
      </c>
      <c r="C40" s="4" t="inlineStr">
        <is>
          <t>1'-0"</t>
        </is>
      </c>
      <c r="D40" s="4" t="inlineStr">
        <is>
          <t>Pooja</t>
        </is>
      </c>
      <c r="E40" s="4" t="n">
        <v>55.4</v>
      </c>
      <c r="F40" s="4" t="n">
        <v>16.6</v>
      </c>
      <c r="G40" s="4" t="inlineStr"/>
    </row>
    <row r="41">
      <c r="A41" s="4" t="inlineStr">
        <is>
          <t>S</t>
        </is>
      </c>
      <c r="B41" s="4" t="inlineStr">
        <is>
          <t>Switchboard</t>
        </is>
      </c>
      <c r="C41" s="4" t="inlineStr">
        <is>
          <t>4'-0"</t>
        </is>
      </c>
      <c r="D41" s="4" t="inlineStr">
        <is>
          <t>Living</t>
        </is>
      </c>
      <c r="E41" s="4" t="n">
        <v>54.6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37</v>
      </c>
      <c r="F42" s="4" t="n">
        <v>6.5</v>
      </c>
      <c r="G42" s="4" t="inlineStr"/>
    </row>
    <row r="43">
      <c r="A43" s="4" t="inlineStr">
        <is>
          <t>PC</t>
        </is>
      </c>
      <c r="B43" s="4" t="inlineStr">
        <is>
          <t>6 A socket at counter</t>
        </is>
      </c>
      <c r="C43" s="4" t="inlineStr">
        <is>
          <t>3'-6"</t>
        </is>
      </c>
      <c r="D43" s="4" t="inlineStr">
        <is>
          <t>Sitting and serving area (open)</t>
        </is>
      </c>
      <c r="E43" s="4" t="n">
        <v>35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v>
      </c>
      <c r="F44" s="4" t="n">
        <v>3.4</v>
      </c>
      <c r="G44" s="4" t="inlineStr">
        <is>
          <t>serving counter</t>
        </is>
      </c>
    </row>
    <row r="45">
      <c r="A45" s="4" t="inlineStr">
        <is>
          <t>L</t>
        </is>
      </c>
      <c r="B45" s="4" t="inlineStr">
        <is>
          <t>Ceiling light</t>
        </is>
      </c>
      <c r="C45" s="4" t="inlineStr">
        <is>
          <t>ceiling</t>
        </is>
      </c>
      <c r="D45" s="4" t="inlineStr">
        <is>
          <t>Common bath</t>
        </is>
      </c>
      <c r="E45" s="4" t="n">
        <v>42.7</v>
      </c>
      <c r="F45" s="4" t="n">
        <v>6.2</v>
      </c>
      <c r="G45" s="4" t="inlineStr"/>
    </row>
    <row r="46">
      <c r="A46" s="4" t="inlineStr">
        <is>
          <t>EF</t>
        </is>
      </c>
      <c r="B46" s="4" t="inlineStr">
        <is>
          <t>Exhaust fan</t>
        </is>
      </c>
      <c r="C46" s="4" t="inlineStr">
        <is>
          <t>7'-0"</t>
        </is>
      </c>
      <c r="D46" s="4" t="inlineStr">
        <is>
          <t>Common bath</t>
        </is>
      </c>
      <c r="E46" s="4" t="n">
        <v>44.9</v>
      </c>
      <c r="F46" s="4" t="n">
        <v>3.4</v>
      </c>
      <c r="G46" s="4" t="inlineStr">
        <is>
          <t>out through the south wall</t>
        </is>
      </c>
    </row>
    <row r="47">
      <c r="A47" s="4" t="inlineStr">
        <is>
          <t>G</t>
        </is>
      </c>
      <c r="B47" s="4" t="inlineStr">
        <is>
          <t>Geyser (16 A)</t>
        </is>
      </c>
      <c r="C47" s="4" t="inlineStr">
        <is>
          <t>6'-6"</t>
        </is>
      </c>
      <c r="D47" s="4" t="inlineStr">
        <is>
          <t>Common bath</t>
        </is>
      </c>
      <c r="E47" s="4" t="n">
        <v>39.8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45.6</v>
      </c>
      <c r="F48" s="4" t="n">
        <v>6</v>
      </c>
      <c r="G48" s="4" t="inlineStr">
        <is>
          <t>by basin</t>
        </is>
      </c>
    </row>
    <row r="49">
      <c r="A49" s="4" t="inlineStr">
        <is>
          <t>S</t>
        </is>
      </c>
      <c r="B49" s="4" t="inlineStr">
        <is>
          <t>Switchboard</t>
        </is>
      </c>
      <c r="C49" s="4" t="inlineStr">
        <is>
          <t>4'-0"</t>
        </is>
      </c>
      <c r="D49" s="4" t="inlineStr">
        <is>
          <t>Sitting and serving area (open)</t>
        </is>
      </c>
      <c r="E49" s="4" t="n">
        <v>39.1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29.5</v>
      </c>
      <c r="F50" s="4" t="n">
        <v>15.5</v>
      </c>
      <c r="G50" s="4" t="inlineStr"/>
    </row>
    <row r="51">
      <c r="A51" s="4" t="inlineStr">
        <is>
          <t>WL</t>
        </is>
      </c>
      <c r="B51" s="4" t="inlineStr">
        <is>
          <t>Wall light / mirror light</t>
        </is>
      </c>
      <c r="C51" s="4" t="inlineStr">
        <is>
          <t>6'-6"</t>
        </is>
      </c>
      <c r="D51" s="4" t="inlineStr">
        <is>
          <t>Bedroom 2</t>
        </is>
      </c>
      <c r="E51" s="4" t="n">
        <v>21.4</v>
      </c>
      <c r="F51" s="4" t="n">
        <v>14.7</v>
      </c>
      <c r="G51" s="4" t="inlineStr">
        <is>
          <t>reading light over the bed head</t>
        </is>
      </c>
    </row>
    <row r="52">
      <c r="A52" s="4" t="inlineStr">
        <is>
          <t>L</t>
        </is>
      </c>
      <c r="B52" s="4" t="inlineStr">
        <is>
          <t>Ceiling light</t>
        </is>
      </c>
      <c r="C52" s="4" t="inlineStr">
        <is>
          <t>ceiling</t>
        </is>
      </c>
      <c r="D52" s="4" t="inlineStr">
        <is>
          <t>Bedroom 2</t>
        </is>
      </c>
      <c r="E52" s="4" t="n">
        <v>31</v>
      </c>
      <c r="F52" s="4" t="n">
        <v>14</v>
      </c>
      <c r="G52" s="4" t="inlineStr"/>
    </row>
    <row r="53">
      <c r="A53" s="4" t="inlineStr">
        <is>
          <t>L</t>
        </is>
      </c>
      <c r="B53" s="4" t="inlineStr">
        <is>
          <t>Ceiling light</t>
        </is>
      </c>
      <c r="C53" s="4" t="inlineStr">
        <is>
          <t>ceiling</t>
        </is>
      </c>
      <c r="D53" s="4" t="inlineStr">
        <is>
          <t>Bedroom 2</t>
        </is>
      </c>
      <c r="E53" s="4" t="n">
        <v>31</v>
      </c>
      <c r="F53" s="4" t="n">
        <v>20.5</v>
      </c>
      <c r="G53" s="4" t="inlineStr"/>
    </row>
    <row r="54">
      <c r="A54" s="4" t="inlineStr">
        <is>
          <t>S</t>
        </is>
      </c>
      <c r="B54" s="4" t="inlineStr">
        <is>
          <t>Switchboard</t>
        </is>
      </c>
      <c r="C54" s="4" t="inlineStr">
        <is>
          <t>4'-0"</t>
        </is>
      </c>
      <c r="D54" s="4" t="inlineStr">
        <is>
          <t>Bedroom 2</t>
        </is>
      </c>
      <c r="E54" s="4" t="n">
        <v>31.2</v>
      </c>
      <c r="F54" s="4" t="n">
        <v>10.9</v>
      </c>
      <c r="G54" s="4" t="inlineStr">
        <is>
          <t>at the door, 2-way</t>
        </is>
      </c>
    </row>
    <row r="55">
      <c r="A55" s="4" t="inlineStr">
        <is>
          <t>S</t>
        </is>
      </c>
      <c r="B55" s="4" t="inlineStr">
        <is>
          <t>Switchboard</t>
        </is>
      </c>
      <c r="C55" s="4" t="inlineStr">
        <is>
          <t>4'-0"</t>
        </is>
      </c>
      <c r="D55" s="4" t="inlineStr">
        <is>
          <t>Bedroom 2</t>
        </is>
      </c>
      <c r="E55" s="4" t="n">
        <v>21.4</v>
      </c>
      <c r="F55" s="4" t="n">
        <v>11.9</v>
      </c>
      <c r="G55" s="4" t="inlineStr">
        <is>
          <t>bedside, 2-way</t>
        </is>
      </c>
    </row>
    <row r="56">
      <c r="A56" s="4" t="inlineStr">
        <is>
          <t>P</t>
        </is>
      </c>
      <c r="B56" s="4" t="inlineStr">
        <is>
          <t>6 A socket</t>
        </is>
      </c>
      <c r="C56" s="4" t="inlineStr">
        <is>
          <t>1'-0"</t>
        </is>
      </c>
      <c r="D56" s="4" t="inlineStr">
        <is>
          <t>Bedroom 2</t>
        </is>
      </c>
      <c r="E56" s="4" t="n">
        <v>21.4</v>
      </c>
      <c r="F56" s="4" t="n">
        <v>11.2</v>
      </c>
      <c r="G56" s="4" t="inlineStr">
        <is>
          <t>bedside</t>
        </is>
      </c>
    </row>
    <row r="57">
      <c r="A57" s="4" t="inlineStr">
        <is>
          <t>P</t>
        </is>
      </c>
      <c r="B57" s="4" t="inlineStr">
        <is>
          <t>6 A socket</t>
        </is>
      </c>
      <c r="C57" s="4" t="inlineStr">
        <is>
          <t>1'-0"</t>
        </is>
      </c>
      <c r="D57" s="4" t="inlineStr">
        <is>
          <t>Bedroom 2</t>
        </is>
      </c>
      <c r="E57" s="4" t="n">
        <v>21.4</v>
      </c>
      <c r="F57" s="4" t="n">
        <v>18</v>
      </c>
      <c r="G57" s="4" t="inlineStr">
        <is>
          <t>bedside, north</t>
        </is>
      </c>
    </row>
    <row r="58">
      <c r="A58" s="4" t="inlineStr">
        <is>
          <t>S</t>
        </is>
      </c>
      <c r="B58" s="4" t="inlineStr">
        <is>
          <t>Switchboard</t>
        </is>
      </c>
      <c r="C58" s="4" t="inlineStr">
        <is>
          <t>4'-0"</t>
        </is>
      </c>
      <c r="D58" s="4" t="inlineStr">
        <is>
          <t>Bedroom 2</t>
        </is>
      </c>
      <c r="E58" s="4" t="n">
        <v>21.4</v>
      </c>
      <c r="F58" s="4" t="n">
        <v>18.5</v>
      </c>
      <c r="G58" s="4" t="inlineStr">
        <is>
          <t>bedside, north, 2-way</t>
        </is>
      </c>
    </row>
    <row r="59">
      <c r="A59" s="4" t="inlineStr">
        <is>
          <t>P</t>
        </is>
      </c>
      <c r="B59" s="4" t="inlineStr">
        <is>
          <t>6 A socket</t>
        </is>
      </c>
      <c r="C59" s="4" t="inlineStr">
        <is>
          <t>1'-0"</t>
        </is>
      </c>
      <c r="D59" s="4" t="inlineStr">
        <is>
          <t>Bedroom 2</t>
        </is>
      </c>
      <c r="E59" s="4" t="n">
        <v>35.6</v>
      </c>
      <c r="F59" s="4" t="n">
        <v>15</v>
      </c>
      <c r="G59" s="4" t="inlineStr">
        <is>
          <t>work table</t>
        </is>
      </c>
    </row>
    <row r="60">
      <c r="A60" s="4" t="inlineStr">
        <is>
          <t>U</t>
        </is>
      </c>
      <c r="B60" s="4" t="inlineStr">
        <is>
          <t>Inverter (UPS) socket</t>
        </is>
      </c>
      <c r="C60" s="4" t="inlineStr">
        <is>
          <t>1'-0"</t>
        </is>
      </c>
      <c r="D60" s="4" t="inlineStr">
        <is>
          <t>Bedroom 2</t>
        </is>
      </c>
      <c r="E60" s="4" t="n">
        <v>35.6</v>
      </c>
      <c r="F60" s="4" t="n">
        <v>15.8</v>
      </c>
      <c r="G60" s="4" t="inlineStr">
        <is>
          <t>work table, monitor</t>
        </is>
      </c>
    </row>
    <row r="61">
      <c r="A61" s="4" t="inlineStr">
        <is>
          <t>D</t>
        </is>
      </c>
      <c r="B61" s="4" t="inlineStr">
        <is>
          <t>Data point (Cat6)</t>
        </is>
      </c>
      <c r="C61" s="4" t="inlineStr">
        <is>
          <t>1'-0"</t>
        </is>
      </c>
      <c r="D61" s="4" t="inlineStr">
        <is>
          <t>Bedroom 2</t>
        </is>
      </c>
      <c r="E61" s="4" t="n">
        <v>35.6</v>
      </c>
      <c r="F61" s="4" t="n">
        <v>16.6</v>
      </c>
      <c r="G61" s="4" t="inlineStr">
        <is>
          <t>work table</t>
        </is>
      </c>
    </row>
    <row r="62">
      <c r="A62" s="4" t="inlineStr">
        <is>
          <t>U</t>
        </is>
      </c>
      <c r="B62" s="4" t="inlineStr">
        <is>
          <t>Inverter (UPS) socket</t>
        </is>
      </c>
      <c r="C62" s="4" t="inlineStr">
        <is>
          <t>1'-0"</t>
        </is>
      </c>
      <c r="D62" s="4" t="inlineStr">
        <is>
          <t>Bedroom 2</t>
        </is>
      </c>
      <c r="E62" s="4" t="n">
        <v>35.6</v>
      </c>
      <c r="F62" s="4" t="n">
        <v>17.4</v>
      </c>
      <c r="G62" s="4" t="inlineStr">
        <is>
          <t>work table</t>
        </is>
      </c>
    </row>
    <row r="63">
      <c r="A63" s="4" t="inlineStr">
        <is>
          <t>AC</t>
        </is>
      </c>
      <c r="B63" s="4" t="inlineStr">
        <is>
          <t>AC indoor unit (16 A socket, sleeve, drain)</t>
        </is>
      </c>
      <c r="C63" s="4" t="inlineStr">
        <is>
          <t>7'-6"</t>
        </is>
      </c>
      <c r="D63" s="4" t="inlineStr">
        <is>
          <t>Bedroom 2</t>
        </is>
      </c>
      <c r="E63" s="4" t="n">
        <v>35.6</v>
      </c>
      <c r="F63" s="4" t="n">
        <v>18.6</v>
      </c>
      <c r="G63" s="4" t="inlineStr">
        <is>
          <t>east wall, not at the work table</t>
        </is>
      </c>
    </row>
    <row r="64">
      <c r="A64" s="4" t="inlineStr">
        <is>
          <t>WL</t>
        </is>
      </c>
      <c r="B64" s="4" t="inlineStr">
        <is>
          <t>Wall light / mirror light</t>
        </is>
      </c>
      <c r="C64" s="4" t="inlineStr">
        <is>
          <t>6'-6"</t>
        </is>
      </c>
      <c r="D64" s="4" t="inlineStr">
        <is>
          <t>Sitting and serving area (open)</t>
        </is>
      </c>
      <c r="E64" s="4" t="n">
        <v>32.2</v>
      </c>
      <c r="F64" s="4" t="n">
        <v>3.4</v>
      </c>
      <c r="G64" s="4" t="inlineStr">
        <is>
          <t>over basin</t>
        </is>
      </c>
    </row>
    <row r="65">
      <c r="A65" s="4" t="inlineStr">
        <is>
          <t>ODU</t>
        </is>
      </c>
      <c r="B65" s="4" t="inlineStr">
        <is>
          <t>AC outdoor unit bracket</t>
        </is>
      </c>
      <c r="C65" s="4" t="inlineStr">
        <is>
          <t>7'-0" outside</t>
        </is>
      </c>
      <c r="D65" s="4" t="inlineStr">
        <is>
          <t>Bedroom 2</t>
        </is>
      </c>
      <c r="E65" s="4" t="n">
        <v>31</v>
      </c>
      <c r="F65" s="4" t="n">
        <v>25.6</v>
      </c>
      <c r="G65" s="4" t="inlineStr">
        <is>
          <t>north wall, shaded</t>
        </is>
      </c>
    </row>
    <row r="66">
      <c r="A66" s="4" t="inlineStr">
        <is>
          <t>L</t>
        </is>
      </c>
      <c r="B66" s="4" t="inlineStr">
        <is>
          <t>Ceiling light</t>
        </is>
      </c>
      <c r="C66" s="4" t="inlineStr">
        <is>
          <t>ceiling</t>
        </is>
      </c>
      <c r="D66" s="4" t="inlineStr">
        <is>
          <t>Dining bay (north window)</t>
        </is>
      </c>
      <c r="E66" s="4" t="n">
        <v>39.5</v>
      </c>
      <c r="F66" s="4" t="n">
        <v>21.5</v>
      </c>
      <c r="G66" s="4" t="inlineStr"/>
    </row>
    <row r="67">
      <c r="A67" s="4" t="inlineStr">
        <is>
          <t>F</t>
        </is>
      </c>
      <c r="B67" s="4" t="inlineStr">
        <is>
          <t>Ceiling fan point</t>
        </is>
      </c>
      <c r="C67" s="4" t="inlineStr">
        <is>
          <t>ceiling</t>
        </is>
      </c>
      <c r="D67" s="4" t="inlineStr">
        <is>
          <t>Dining bay (north window)</t>
        </is>
      </c>
      <c r="E67" s="4" t="n">
        <v>43</v>
      </c>
      <c r="F67" s="4" t="n">
        <v>21.5</v>
      </c>
      <c r="G67" s="4" t="inlineStr">
        <is>
          <t>long downrod, over the seating</t>
        </is>
      </c>
    </row>
    <row r="68">
      <c r="A68" s="4" t="inlineStr">
        <is>
          <t>P</t>
        </is>
      </c>
      <c r="B68" s="4" t="inlineStr">
        <is>
          <t>6 A socket</t>
        </is>
      </c>
      <c r="C68" s="4" t="inlineStr">
        <is>
          <t>1'-0"</t>
        </is>
      </c>
      <c r="D68" s="4" t="inlineStr">
        <is>
          <t>Dining bay (north window)</t>
        </is>
      </c>
      <c r="E68" s="4" t="n">
        <v>46.6</v>
      </c>
      <c r="F68" s="4" t="n">
        <v>24.6</v>
      </c>
      <c r="G68" s="4" t="inlineStr"/>
    </row>
    <row r="69">
      <c r="A69" s="4" t="inlineStr">
        <is>
          <t>TV</t>
        </is>
      </c>
      <c r="B69" s="4" t="inlineStr">
        <is>
          <t>TV + data point</t>
        </is>
      </c>
      <c r="C69" s="4" t="inlineStr">
        <is>
          <t>3'-6"</t>
        </is>
      </c>
      <c r="D69" s="4" t="inlineStr">
        <is>
          <t>Dining bay (north window)</t>
        </is>
      </c>
      <c r="E69" s="4" t="n">
        <v>36.4</v>
      </c>
      <c r="F69" s="4" t="n">
        <v>22.4</v>
      </c>
      <c r="G69" s="4" t="inlineStr">
        <is>
          <t>TV wall: 2 sockets + data + HDMI conduit to the unit</t>
        </is>
      </c>
    </row>
    <row r="70">
      <c r="A70" s="4" t="inlineStr">
        <is>
          <t>P</t>
        </is>
      </c>
      <c r="B70" s="4" t="inlineStr">
        <is>
          <t>6 A socket</t>
        </is>
      </c>
      <c r="C70" s="4" t="inlineStr">
        <is>
          <t>1'-0"</t>
        </is>
      </c>
      <c r="D70" s="4" t="inlineStr">
        <is>
          <t>Dining bay (north window)</t>
        </is>
      </c>
      <c r="E70" s="4" t="n">
        <v>36.4</v>
      </c>
      <c r="F70" s="4" t="n">
        <v>21</v>
      </c>
      <c r="G70" s="4" t="inlineStr">
        <is>
          <t>TV unit</t>
        </is>
      </c>
    </row>
    <row r="71">
      <c r="A71" s="4" t="inlineStr">
        <is>
          <t>AC</t>
        </is>
      </c>
      <c r="B71" s="4" t="inlineStr">
        <is>
          <t>AC indoor unit (16 A socket, sleeve, drain)</t>
        </is>
      </c>
      <c r="C71" s="4" t="inlineStr">
        <is>
          <t>7'-6"</t>
        </is>
      </c>
      <c r="D71" s="4" t="inlineStr">
        <is>
          <t>Dining bay (north window)</t>
        </is>
      </c>
      <c r="E71" s="4" t="n">
        <v>36.4</v>
      </c>
      <c r="F71" s="4" t="n">
        <v>20</v>
      </c>
      <c r="G71" s="4" t="inlineStr">
        <is>
          <t>above the TV unit, throws east over the seating</t>
        </is>
      </c>
    </row>
    <row r="72">
      <c r="A72" s="4" t="inlineStr">
        <is>
          <t>ODU</t>
        </is>
      </c>
      <c r="B72" s="4" t="inlineStr">
        <is>
          <t>AC outdoor unit bracket</t>
        </is>
      </c>
      <c r="C72" s="4" t="inlineStr">
        <is>
          <t>7'-0" outside</t>
        </is>
      </c>
      <c r="D72" s="4" t="inlineStr">
        <is>
          <t>Dining bay (north window)</t>
        </is>
      </c>
      <c r="E72" s="4" t="n">
        <v>38</v>
      </c>
      <c r="F72" s="4" t="n">
        <v>25.6</v>
      </c>
      <c r="G72" s="4" t="inlineStr">
        <is>
          <t>north wall, shaded</t>
        </is>
      </c>
    </row>
    <row r="73">
      <c r="A73" s="4" t="inlineStr">
        <is>
          <t>L</t>
        </is>
      </c>
      <c r="B73" s="4" t="inlineStr">
        <is>
          <t>Ceiling light</t>
        </is>
      </c>
      <c r="C73" s="4" t="inlineStr">
        <is>
          <t>ceiling</t>
        </is>
      </c>
      <c r="D73" s="4" t="inlineStr">
        <is>
          <t>Dining</t>
        </is>
      </c>
      <c r="E73" s="4" t="n">
        <v>42.5</v>
      </c>
      <c r="F73" s="4" t="n">
        <v>15</v>
      </c>
      <c r="G73" s="4" t="inlineStr">
        <is>
          <t>pendant</t>
        </is>
      </c>
    </row>
    <row r="74">
      <c r="A74" s="4" t="inlineStr">
        <is>
          <t>WL</t>
        </is>
      </c>
      <c r="B74" s="4" t="inlineStr">
        <is>
          <t>Wall light / mirror light</t>
        </is>
      </c>
      <c r="C74" s="4" t="inlineStr">
        <is>
          <t>6'-6"</t>
        </is>
      </c>
      <c r="D74" s="4" t="inlineStr">
        <is>
          <t>Dining</t>
        </is>
      </c>
      <c r="E74" s="4" t="n">
        <v>36.4</v>
      </c>
      <c r="F74" s="4" t="n">
        <v>17.5</v>
      </c>
      <c r="G74" s="4" t="inlineStr"/>
    </row>
    <row r="75">
      <c r="A75" s="4" t="inlineStr">
        <is>
          <t>P</t>
        </is>
      </c>
      <c r="B75" s="4" t="inlineStr">
        <is>
          <t>6 A socket</t>
        </is>
      </c>
      <c r="C75" s="4" t="inlineStr">
        <is>
          <t>1'-0"</t>
        </is>
      </c>
      <c r="D75" s="4" t="inlineStr">
        <is>
          <t>Dining</t>
        </is>
      </c>
      <c r="E75" s="4" t="n">
        <v>36.4</v>
      </c>
      <c r="F75" s="4" t="n">
        <v>16.2</v>
      </c>
      <c r="G75" s="4" t="inlineStr"/>
    </row>
    <row r="76">
      <c r="A76" s="4" t="inlineStr">
        <is>
          <t>S</t>
        </is>
      </c>
      <c r="B76" s="4" t="inlineStr">
        <is>
          <t>Switchboard</t>
        </is>
      </c>
      <c r="C76" s="4" t="inlineStr">
        <is>
          <t>4'-0"</t>
        </is>
      </c>
      <c r="D76" s="4" t="inlineStr">
        <is>
          <t>Dining</t>
        </is>
      </c>
      <c r="E76" s="4" t="n">
        <v>36.4</v>
      </c>
      <c r="F76" s="4" t="n">
        <v>13.7</v>
      </c>
      <c r="G76" s="4" t="inlineStr">
        <is>
          <t>dining and bay, at the passage</t>
        </is>
      </c>
    </row>
    <row r="77">
      <c r="A77" s="4" t="inlineStr">
        <is>
          <t>L</t>
        </is>
      </c>
      <c r="B77" s="4" t="inlineStr">
        <is>
          <t>Ceiling light</t>
        </is>
      </c>
      <c r="C77" s="4" t="inlineStr">
        <is>
          <t>ceiling</t>
        </is>
      </c>
      <c r="D77" s="4" t="inlineStr">
        <is>
          <t>Sitting and serving area (open)</t>
        </is>
      </c>
      <c r="E77" s="4" t="n">
        <v>28.5</v>
      </c>
      <c r="F77" s="4" t="n">
        <v>6.75</v>
      </c>
      <c r="G77" s="4" t="inlineStr"/>
    </row>
    <row r="78">
      <c r="A78" s="4" t="inlineStr">
        <is>
          <t>S</t>
        </is>
      </c>
      <c r="B78" s="4" t="inlineStr">
        <is>
          <t>Switchboard</t>
        </is>
      </c>
      <c r="C78" s="4" t="inlineStr">
        <is>
          <t>4'-0"</t>
        </is>
      </c>
      <c r="D78" s="4" t="inlineStr">
        <is>
          <t>Sitting and serving area (open)</t>
        </is>
      </c>
      <c r="E78" s="4" t="n">
        <v>21.4</v>
      </c>
      <c r="F78" s="4" t="n">
        <v>6</v>
      </c>
      <c r="G78" s="4" t="inlineStr"/>
    </row>
    <row r="79">
      <c r="A79" s="4" t="inlineStr">
        <is>
          <t>INV</t>
        </is>
      </c>
      <c r="B79" s="4" t="inlineStr">
        <is>
          <t>Inverter + battery</t>
        </is>
      </c>
      <c r="C79" s="4" t="inlineStr">
        <is>
          <t>floor</t>
        </is>
      </c>
      <c r="D79" s="4" t="inlineStr">
        <is>
          <t>Sitting and serving area (open)</t>
        </is>
      </c>
      <c r="E79" s="4" t="n">
        <v>22</v>
      </c>
      <c r="F79" s="4" t="n">
        <v>5</v>
      </c>
      <c r="G79" s="4" t="inlineStr">
        <is>
          <t>lithium inverter in a ventilated cabinet under the bench</t>
        </is>
      </c>
    </row>
    <row r="80">
      <c r="A80" s="4" t="inlineStr">
        <is>
          <t>L</t>
        </is>
      </c>
      <c r="B80" s="4" t="inlineStr">
        <is>
          <t>Ceiling light</t>
        </is>
      </c>
      <c r="C80" s="4" t="inlineStr">
        <is>
          <t>ceiling</t>
        </is>
      </c>
      <c r="D80" s="4" t="inlineStr">
        <is>
          <t>Wet area (open to the walkway)</t>
        </is>
      </c>
      <c r="E80" s="4" t="n">
        <v>48</v>
      </c>
      <c r="F80" s="4" t="n">
        <v>5.5</v>
      </c>
      <c r="G80" s="4" t="inlineStr">
        <is>
          <t>weatherproof</t>
        </is>
      </c>
    </row>
    <row r="81">
      <c r="A81" s="4" t="inlineStr">
        <is>
          <t>P16</t>
        </is>
      </c>
      <c r="B81" s="4" t="inlineStr">
        <is>
          <t>16 A power socket</t>
        </is>
      </c>
      <c r="C81" s="4" t="inlineStr">
        <is>
          <t>varies</t>
        </is>
      </c>
      <c r="D81" s="4" t="inlineStr">
        <is>
          <t>Wet area (open to the walkway)</t>
        </is>
      </c>
      <c r="E81" s="4" t="n">
        <v>46.5</v>
      </c>
      <c r="F81" s="4" t="n">
        <v>8.699999999999999</v>
      </c>
      <c r="G81" s="4" t="inlineStr">
        <is>
          <t>washing machine</t>
        </is>
      </c>
    </row>
    <row r="82">
      <c r="A82" s="4" t="inlineStr">
        <is>
          <t>P</t>
        </is>
      </c>
      <c r="B82" s="4" t="inlineStr">
        <is>
          <t>6 A socket</t>
        </is>
      </c>
      <c r="C82" s="4" t="inlineStr">
        <is>
          <t>1'-0"</t>
        </is>
      </c>
      <c r="D82" s="4" t="inlineStr">
        <is>
          <t>Wet area (open to the walkway)</t>
        </is>
      </c>
      <c r="E82" s="4" t="n">
        <v>50.6</v>
      </c>
      <c r="F82" s="4" t="n">
        <v>6</v>
      </c>
      <c r="G82" s="4" t="inlineStr">
        <is>
          <t>utility, weatherproof</t>
        </is>
      </c>
    </row>
    <row r="83">
      <c r="A83" s="4" t="inlineStr">
        <is>
          <t>L</t>
        </is>
      </c>
      <c r="B83" s="4" t="inlineStr">
        <is>
          <t>Ceiling light</t>
        </is>
      </c>
      <c r="C83" s="4" t="inlineStr">
        <is>
          <t>ceiling</t>
        </is>
      </c>
      <c r="D83" s="4" t="inlineStr">
        <is>
          <t>Kitchen</t>
        </is>
      </c>
      <c r="E83" s="4" t="n">
        <v>60</v>
      </c>
      <c r="F83" s="4" t="n">
        <v>8</v>
      </c>
      <c r="G83" s="4" t="inlineStr"/>
    </row>
    <row r="84">
      <c r="A84" s="4" t="inlineStr">
        <is>
          <t>WL</t>
        </is>
      </c>
      <c r="B84" s="4" t="inlineStr">
        <is>
          <t>Wall light / mirror light</t>
        </is>
      </c>
      <c r="C84" s="4" t="inlineStr">
        <is>
          <t>6'-6"</t>
        </is>
      </c>
      <c r="D84" s="4" t="inlineStr">
        <is>
          <t>Kitchen</t>
        </is>
      </c>
      <c r="E84" s="4" t="n">
        <v>59</v>
      </c>
      <c r="F84" s="4" t="n">
        <v>3.5</v>
      </c>
      <c r="G84" s="4" t="inlineStr">
        <is>
          <t>under-cabinet</t>
        </is>
      </c>
    </row>
    <row r="85">
      <c r="A85" s="4" t="inlineStr">
        <is>
          <t>WL</t>
        </is>
      </c>
      <c r="B85" s="4" t="inlineStr">
        <is>
          <t>Wall light / mirror light</t>
        </is>
      </c>
      <c r="C85" s="4" t="inlineStr">
        <is>
          <t>6'-6"</t>
        </is>
      </c>
      <c r="D85" s="4" t="inlineStr">
        <is>
          <t>Kitchen</t>
        </is>
      </c>
      <c r="E85" s="4" t="n">
        <v>64.5</v>
      </c>
      <c r="F85" s="4" t="n">
        <v>9.6</v>
      </c>
      <c r="G85" s="4" t="inlineStr">
        <is>
          <t>under-cabinet</t>
        </is>
      </c>
    </row>
    <row r="86">
      <c r="A86" s="4" t="inlineStr">
        <is>
          <t>CH</t>
        </is>
      </c>
      <c r="B86" s="4" t="inlineStr">
        <is>
          <t>Kitchen chimney point (16 A)</t>
        </is>
      </c>
      <c r="C86" s="4" t="inlineStr">
        <is>
          <t>7'-0"</t>
        </is>
      </c>
      <c r="D86" s="4" t="inlineStr">
        <is>
          <t>Kitchen</t>
        </is>
      </c>
      <c r="E86" s="4" t="n">
        <v>64.59999999999999</v>
      </c>
      <c r="F86" s="4" t="n">
        <v>7.5</v>
      </c>
      <c r="G86" s="4" t="inlineStr">
        <is>
          <t>3 ft chimney on solid wall, duct out through the east wall</t>
        </is>
      </c>
    </row>
    <row r="87">
      <c r="A87" s="4" t="inlineStr">
        <is>
          <t>P16</t>
        </is>
      </c>
      <c r="B87" s="4" t="inlineStr">
        <is>
          <t>16 A power socket</t>
        </is>
      </c>
      <c r="C87" s="4" t="inlineStr">
        <is>
          <t>varies</t>
        </is>
      </c>
      <c r="D87" s="4" t="inlineStr">
        <is>
          <t>Kitchen</t>
        </is>
      </c>
      <c r="E87" s="4" t="n">
        <v>56.75</v>
      </c>
      <c r="F87" s="4" t="n">
        <v>12.7</v>
      </c>
      <c r="G87" s="4" t="inlineStr">
        <is>
          <t>refrigerator, behind the fridge</t>
        </is>
      </c>
    </row>
    <row r="88">
      <c r="A88" s="4" t="inlineStr">
        <is>
          <t>PC</t>
        </is>
      </c>
      <c r="B88" s="4" t="inlineStr">
        <is>
          <t>6 A socket at counter</t>
        </is>
      </c>
      <c r="C88" s="4" t="inlineStr">
        <is>
          <t>3'-6"</t>
        </is>
      </c>
      <c r="D88" s="4" t="inlineStr">
        <is>
          <t>Kitchen</t>
        </is>
      </c>
      <c r="E88" s="4" t="n">
        <v>52.5</v>
      </c>
      <c r="F88" s="4" t="n">
        <v>3.5</v>
      </c>
      <c r="G88" s="4" t="inlineStr"/>
    </row>
    <row r="89">
      <c r="A89" s="4" t="inlineStr">
        <is>
          <t>PC</t>
        </is>
      </c>
      <c r="B89" s="4" t="inlineStr">
        <is>
          <t>6 A socket at counter</t>
        </is>
      </c>
      <c r="C89" s="4" t="inlineStr">
        <is>
          <t>3'-6"</t>
        </is>
      </c>
      <c r="D89" s="4" t="inlineStr">
        <is>
          <t>Kitchen</t>
        </is>
      </c>
      <c r="E89" s="4" t="n">
        <v>56</v>
      </c>
      <c r="F89" s="4" t="n">
        <v>3.5</v>
      </c>
      <c r="G89" s="4" t="inlineStr">
        <is>
          <t>microwave / OTG</t>
        </is>
      </c>
    </row>
    <row r="90">
      <c r="A90" s="4" t="inlineStr">
        <is>
          <t>PC</t>
        </is>
      </c>
      <c r="B90" s="4" t="inlineStr">
        <is>
          <t>6 A socket at counter</t>
        </is>
      </c>
      <c r="C90" s="4" t="inlineStr">
        <is>
          <t>3'-6"</t>
        </is>
      </c>
      <c r="D90" s="4" t="inlineStr">
        <is>
          <t>Kitchen</t>
        </is>
      </c>
      <c r="E90" s="4" t="n">
        <v>61.5</v>
      </c>
      <c r="F90" s="4" t="n">
        <v>3.5</v>
      </c>
      <c r="G90" s="4" t="inlineStr">
        <is>
          <t>mixer</t>
        </is>
      </c>
    </row>
    <row r="91">
      <c r="A91" s="4" t="inlineStr">
        <is>
          <t>PC</t>
        </is>
      </c>
      <c r="B91" s="4" t="inlineStr">
        <is>
          <t>6 A socket at counter</t>
        </is>
      </c>
      <c r="C91" s="4" t="inlineStr">
        <is>
          <t>3'-6"</t>
        </is>
      </c>
      <c r="D91" s="4" t="inlineStr">
        <is>
          <t>Kitchen</t>
        </is>
      </c>
      <c r="E91" s="4" t="n">
        <v>64.59999999999999</v>
      </c>
      <c r="F91" s="4" t="n">
        <v>5.6</v>
      </c>
      <c r="G91" s="4" t="inlineStr"/>
    </row>
    <row r="92">
      <c r="A92" s="4" t="inlineStr">
        <is>
          <t>PC</t>
        </is>
      </c>
      <c r="B92" s="4" t="inlineStr">
        <is>
          <t>6 A socket at counter</t>
        </is>
      </c>
      <c r="C92" s="4" t="inlineStr">
        <is>
          <t>3'-6"</t>
        </is>
      </c>
      <c r="D92" s="4" t="inlineStr">
        <is>
          <t>Kitchen</t>
        </is>
      </c>
      <c r="E92" s="4" t="n">
        <v>64.59999999999999</v>
      </c>
      <c r="F92" s="4" t="n">
        <v>9.6</v>
      </c>
      <c r="G92" s="4" t="inlineStr"/>
    </row>
    <row r="93">
      <c r="A93" s="4" t="inlineStr">
        <is>
          <t>PC</t>
        </is>
      </c>
      <c r="B93" s="4" t="inlineStr">
        <is>
          <t>6 A socket at counter</t>
        </is>
      </c>
      <c r="C93" s="4" t="inlineStr">
        <is>
          <t>3'-6"</t>
        </is>
      </c>
      <c r="D93" s="4" t="inlineStr">
        <is>
          <t>Kitchen</t>
        </is>
      </c>
      <c r="E93" s="4" t="n">
        <v>57.3</v>
      </c>
      <c r="F93" s="4" t="n">
        <v>3.5</v>
      </c>
      <c r="G93" s="4" t="inlineStr">
        <is>
          <t>RO purifier, by sink</t>
        </is>
      </c>
    </row>
    <row r="94">
      <c r="A94" s="4" t="inlineStr">
        <is>
          <t>S</t>
        </is>
      </c>
      <c r="B94" s="4" t="inlineStr">
        <is>
          <t>Switchboard</t>
        </is>
      </c>
      <c r="C94" s="4" t="inlineStr">
        <is>
          <t>4'-0"</t>
        </is>
      </c>
      <c r="D94" s="4" t="inlineStr">
        <is>
          <t>Kitchen</t>
        </is>
      </c>
      <c r="E94" s="4" t="n">
        <v>51.4</v>
      </c>
      <c r="F94" s="4" t="n">
        <v>9</v>
      </c>
      <c r="G94" s="4" t="inlineStr">
        <is>
          <t>beside the entry, latch side</t>
        </is>
      </c>
    </row>
    <row r="95">
      <c r="A95" s="4" t="inlineStr">
        <is>
          <t>F</t>
        </is>
      </c>
      <c r="B95" s="4" t="inlineStr">
        <is>
          <t>Ceiling fan point</t>
        </is>
      </c>
      <c r="C95" s="4" t="inlineStr">
        <is>
          <t>ceiling</t>
        </is>
      </c>
      <c r="D95" s="4" t="inlineStr">
        <is>
          <t>Living</t>
        </is>
      </c>
      <c r="E95" s="4" t="n">
        <v>53</v>
      </c>
      <c r="F95" s="4" t="n">
        <v>19</v>
      </c>
      <c r="G95" s="4" t="inlineStr">
        <is>
          <t>long downrod</t>
        </is>
      </c>
    </row>
    <row r="96">
      <c r="A96" s="4" t="inlineStr">
        <is>
          <t>L</t>
        </is>
      </c>
      <c r="B96" s="4" t="inlineStr">
        <is>
          <t>Ceiling light</t>
        </is>
      </c>
      <c r="C96" s="4" t="inlineStr">
        <is>
          <t>ceiling</t>
        </is>
      </c>
      <c r="D96" s="4" t="inlineStr">
        <is>
          <t>Living</t>
        </is>
      </c>
      <c r="E96" s="4" t="n">
        <v>50</v>
      </c>
      <c r="F96" s="4" t="n">
        <v>22.5</v>
      </c>
      <c r="G96" s="4" t="inlineStr"/>
    </row>
    <row r="97">
      <c r="A97" s="4" t="inlineStr">
        <is>
          <t>L</t>
        </is>
      </c>
      <c r="B97" s="4" t="inlineStr">
        <is>
          <t>Ceiling light</t>
        </is>
      </c>
      <c r="C97" s="4" t="inlineStr">
        <is>
          <t>ceiling</t>
        </is>
      </c>
      <c r="D97" s="4" t="inlineStr">
        <is>
          <t>Living</t>
        </is>
      </c>
      <c r="E97" s="4" t="n">
        <v>53</v>
      </c>
      <c r="F97" s="4" t="n">
        <v>16</v>
      </c>
      <c r="G97" s="4" t="inlineStr"/>
    </row>
    <row r="98">
      <c r="A98" s="4" t="inlineStr">
        <is>
          <t>P</t>
        </is>
      </c>
      <c r="B98" s="4" t="inlineStr">
        <is>
          <t>6 A socket</t>
        </is>
      </c>
      <c r="C98" s="4" t="inlineStr">
        <is>
          <t>1'-0"</t>
        </is>
      </c>
      <c r="D98" s="4" t="inlineStr">
        <is>
          <t>Dining bay (north window)</t>
        </is>
      </c>
      <c r="E98" s="4" t="n">
        <v>46.2</v>
      </c>
      <c r="F98" s="4" t="n">
        <v>18.4</v>
      </c>
      <c r="G98" s="4" t="inlineStr">
        <is>
          <t>floor socket, sofa end</t>
        </is>
      </c>
    </row>
    <row r="99">
      <c r="A99" s="4" t="inlineStr">
        <is>
          <t>P</t>
        </is>
      </c>
      <c r="B99" s="4" t="inlineStr">
        <is>
          <t>6 A socket</t>
        </is>
      </c>
      <c r="C99" s="4" t="inlineStr">
        <is>
          <t>1'-0"</t>
        </is>
      </c>
      <c r="D99" s="4" t="inlineStr">
        <is>
          <t>Living</t>
        </is>
      </c>
      <c r="E99" s="4" t="n">
        <v>50.6</v>
      </c>
      <c r="F99" s="4" t="n">
        <v>17.8</v>
      </c>
      <c r="G99" s="4" t="inlineStr">
        <is>
          <t>floor socket, armchair</t>
        </is>
      </c>
    </row>
    <row r="100">
      <c r="A100" s="4" t="inlineStr">
        <is>
          <t>S</t>
        </is>
      </c>
      <c r="B100" s="4" t="inlineStr">
        <is>
          <t>Switchboard</t>
        </is>
      </c>
      <c r="C100" s="4" t="inlineStr">
        <is>
          <t>4'-0"</t>
        </is>
      </c>
      <c r="D100" s="4" t="inlineStr">
        <is>
          <t>Living</t>
        </is>
      </c>
      <c r="E100" s="4" t="n">
        <v>58.6</v>
      </c>
      <c r="F100" s="4" t="n">
        <v>21</v>
      </c>
      <c r="G100" s="4" t="inlineStr">
        <is>
          <t>main switch at door</t>
        </is>
      </c>
    </row>
    <row r="101">
      <c r="A101" s="4" t="inlineStr">
        <is>
          <t>DB</t>
        </is>
      </c>
      <c r="B101" s="4" t="inlineStr">
        <is>
          <t>Distribution board</t>
        </is>
      </c>
      <c r="C101" s="4" t="inlineStr">
        <is>
          <t>5'-0" to top</t>
        </is>
      </c>
      <c r="D101" s="4" t="inlineStr">
        <is>
          <t>Dining</t>
        </is>
      </c>
      <c r="E101" s="4" t="n">
        <v>36.4</v>
      </c>
      <c r="F101" s="4" t="n">
        <v>12.6</v>
      </c>
      <c r="G101" s="4" t="inlineStr">
        <is>
          <t>dining face of Bedroom 2's east wall, by the passage; dry wall away from the pooja and wet area</t>
        </is>
      </c>
    </row>
    <row r="102">
      <c r="A102" s="4" t="inlineStr">
        <is>
          <t>U</t>
        </is>
      </c>
      <c r="B102" s="4" t="inlineStr">
        <is>
          <t>Inverter (UPS) socket</t>
        </is>
      </c>
      <c r="C102" s="4" t="inlineStr">
        <is>
          <t>1'-0"</t>
        </is>
      </c>
      <c r="D102" s="4" t="inlineStr">
        <is>
          <t>Dining</t>
        </is>
      </c>
      <c r="E102" s="4" t="n">
        <v>36.4</v>
      </c>
      <c r="F102" s="4" t="n">
        <v>14.6</v>
      </c>
      <c r="G102" s="4" t="inlineStr">
        <is>
          <t>router (central)</t>
        </is>
      </c>
    </row>
    <row r="103">
      <c r="A103" s="4" t="inlineStr">
        <is>
          <t>L</t>
        </is>
      </c>
      <c r="B103" s="4" t="inlineStr">
        <is>
          <t>Ceiling light</t>
        </is>
      </c>
      <c r="C103" s="4" t="inlineStr">
        <is>
          <t>ceiling</t>
        </is>
      </c>
      <c r="D103" s="4" t="inlineStr">
        <is>
          <t>Poomukham (verandah)</t>
        </is>
      </c>
      <c r="E103" s="4" t="n">
        <v>62</v>
      </c>
      <c r="F103" s="4" t="n">
        <v>16</v>
      </c>
      <c r="G103" s="4" t="inlineStr"/>
    </row>
    <row r="104">
      <c r="A104" s="4" t="inlineStr">
        <is>
          <t>L</t>
        </is>
      </c>
      <c r="B104" s="4" t="inlineStr">
        <is>
          <t>Ceiling light</t>
        </is>
      </c>
      <c r="C104" s="4" t="inlineStr">
        <is>
          <t>ceiling</t>
        </is>
      </c>
      <c r="D104" s="4" t="inlineStr">
        <is>
          <t>Poomukham (verandah)</t>
        </is>
      </c>
      <c r="E104" s="4" t="n">
        <v>62</v>
      </c>
      <c r="F104" s="4" t="n">
        <v>22</v>
      </c>
      <c r="G104" s="4" t="inlineStr"/>
    </row>
    <row r="105">
      <c r="A105" s="4" t="inlineStr">
        <is>
          <t>BELL</t>
        </is>
      </c>
      <c r="B105" s="4" t="inlineStr">
        <is>
          <t>Bell push</t>
        </is>
      </c>
      <c r="C105" s="4" t="inlineStr">
        <is>
          <t>4'-6"</t>
        </is>
      </c>
      <c r="D105" s="4" t="inlineStr">
        <is>
          <t>Poomukham (verandah)</t>
        </is>
      </c>
      <c r="E105" s="4" t="n">
        <v>59.4</v>
      </c>
      <c r="F105" s="4" t="n">
        <v>20.4</v>
      </c>
      <c r="G105" s="4" t="inlineStr"/>
    </row>
    <row r="106">
      <c r="A106" s="4" t="inlineStr">
        <is>
          <t>CAM</t>
        </is>
      </c>
      <c r="B106" s="4" t="inlineStr">
        <is>
          <t>CCTV point</t>
        </is>
      </c>
      <c r="C106" s="4" t="inlineStr">
        <is>
          <t>8'-0"</t>
        </is>
      </c>
      <c r="D106" s="4" t="inlineStr">
        <is>
          <t>Poomukham (verandah)</t>
        </is>
      </c>
      <c r="E106" s="4" t="n">
        <v>64.5</v>
      </c>
      <c r="F106" s="4" t="n">
        <v>24.6</v>
      </c>
      <c r="G106" s="4" t="inlineStr">
        <is>
          <t>covers gate and door</t>
        </is>
      </c>
    </row>
    <row r="107">
      <c r="A107" s="4" t="inlineStr">
        <is>
          <t>P</t>
        </is>
      </c>
      <c r="B107" s="4" t="inlineStr">
        <is>
          <t>6 A socket</t>
        </is>
      </c>
      <c r="C107" s="4" t="inlineStr">
        <is>
          <t>1'-0"</t>
        </is>
      </c>
      <c r="D107" s="4" t="inlineStr">
        <is>
          <t>Poomukham (verandah)</t>
        </is>
      </c>
      <c r="E107" s="4" t="n">
        <v>59.4</v>
      </c>
      <c r="F107" s="4" t="n">
        <v>24</v>
      </c>
      <c r="G107" s="4" t="inlineStr">
        <is>
          <t>outdoor, weatherproof</t>
        </is>
      </c>
    </row>
    <row r="108">
      <c r="A108" s="4" t="inlineStr">
        <is>
          <t>S</t>
        </is>
      </c>
      <c r="B108" s="4" t="inlineStr">
        <is>
          <t>Switchboard</t>
        </is>
      </c>
      <c r="C108" s="4" t="inlineStr">
        <is>
          <t>4'-0"</t>
        </is>
      </c>
      <c r="D108" s="4" t="inlineStr">
        <is>
          <t>Poomukham (verandah)</t>
        </is>
      </c>
      <c r="E108" s="4" t="n">
        <v>59.4</v>
      </c>
      <c r="F108" s="4" t="n">
        <v>20.9</v>
      </c>
      <c r="G108" s="4" t="inlineStr"/>
    </row>
    <row r="109">
      <c r="A109" s="4" t="inlineStr">
        <is>
          <t>MTR</t>
        </is>
      </c>
      <c r="B109" s="4" t="inlineStr">
        <is>
          <t>Meter at gate</t>
        </is>
      </c>
      <c r="C109" s="4" t="inlineStr">
        <is>
          <t>5'-0"</t>
        </is>
      </c>
      <c r="D109" s="4" t="inlineStr">
        <is>
          <t>Site</t>
        </is>
      </c>
      <c r="E109" s="4" t="n">
        <v>74.59999999999999</v>
      </c>
      <c r="F109" s="4" t="n">
        <v>23</v>
      </c>
      <c r="G109" s="4" t="inlineStr">
        <is>
          <t>meter in compound wall by gate</t>
        </is>
      </c>
    </row>
    <row r="110">
      <c r="A110" s="4" t="inlineStr">
        <is>
          <t>GL</t>
        </is>
      </c>
      <c r="B110" s="4" t="inlineStr">
        <is>
          <t>Outdoor / gate light</t>
        </is>
      </c>
      <c r="C110" s="4" t="inlineStr">
        <is>
          <t>7'-0"</t>
        </is>
      </c>
      <c r="D110" s="4" t="inlineStr">
        <is>
          <t>Site</t>
        </is>
      </c>
      <c r="E110" s="4" t="n">
        <v>74.59999999999999</v>
      </c>
      <c r="F110" s="4" t="n">
        <v>14.5</v>
      </c>
      <c r="G110" s="4" t="inlineStr">
        <is>
          <t>gate light</t>
        </is>
      </c>
    </row>
    <row r="111">
      <c r="A111" s="4" t="inlineStr">
        <is>
          <t>EP</t>
        </is>
      </c>
      <c r="B111" s="4" t="inlineStr">
        <is>
          <t>Earth pit</t>
        </is>
      </c>
      <c r="C111" s="4" t="inlineStr">
        <is>
          <t>ground</t>
        </is>
      </c>
      <c r="D111" s="4" t="inlineStr">
        <is>
          <t>Site</t>
        </is>
      </c>
      <c r="E111" s="4" t="n">
        <v>66.2</v>
      </c>
      <c r="F111" s="4" t="n">
        <v>1.5</v>
      </c>
      <c r="G111" s="4" t="inlineStr">
        <is>
          <t>earth pit 1</t>
        </is>
      </c>
    </row>
    <row r="112">
      <c r="A112" s="4" t="inlineStr">
        <is>
          <t>EP</t>
        </is>
      </c>
      <c r="B112" s="4" t="inlineStr">
        <is>
          <t>Earth pit</t>
        </is>
      </c>
      <c r="C112" s="4" t="inlineStr">
        <is>
          <t>ground</t>
        </is>
      </c>
      <c r="D112" s="4" t="inlineStr">
        <is>
          <t>Site</t>
        </is>
      </c>
      <c r="E112" s="4" t="n">
        <v>73.5</v>
      </c>
      <c r="F112" s="4" t="n">
        <v>1.5</v>
      </c>
      <c r="G112" s="4" t="inlineStr">
        <is>
          <t>earth pit 2</t>
        </is>
      </c>
    </row>
    <row r="113">
      <c r="A113" s="4" t="inlineStr">
        <is>
          <t>GL</t>
        </is>
      </c>
      <c r="B113" s="4" t="inlineStr">
        <is>
          <t>Outdoor / gate light</t>
        </is>
      </c>
      <c r="C113" s="4" t="inlineStr">
        <is>
          <t>7'-0"</t>
        </is>
      </c>
      <c r="D113" s="4" t="inlineStr">
        <is>
          <t>Site</t>
        </is>
      </c>
      <c r="E113" s="4" t="n">
        <v>2.5</v>
      </c>
      <c r="F113" s="4" t="n">
        <v>8</v>
      </c>
      <c r="G113"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45.6</v>
      </c>
      <c r="E8" s="4" t="n">
        <v>7.35</v>
      </c>
      <c r="F8" s="4" t="inlineStr">
        <is>
          <t>on the wet wall</t>
        </is>
      </c>
    </row>
    <row r="9">
      <c r="A9" s="4" t="inlineStr">
        <is>
          <t>HF</t>
        </is>
      </c>
      <c r="B9" s="4" t="inlineStr">
        <is>
          <t>Health faucet</t>
        </is>
      </c>
      <c r="C9" s="4" t="inlineStr">
        <is>
          <t>Common bath</t>
        </is>
      </c>
      <c r="D9" s="4" t="n">
        <v>45.6</v>
      </c>
      <c r="E9" s="4" t="n">
        <v>6.5</v>
      </c>
      <c r="F9" s="4" t="inlineStr"/>
    </row>
    <row r="10">
      <c r="A10" s="4" t="inlineStr">
        <is>
          <t>BS</t>
        </is>
      </c>
      <c r="B10" s="4" t="inlineStr">
        <is>
          <t>Wash basin</t>
        </is>
      </c>
      <c r="C10" s="4" t="inlineStr">
        <is>
          <t>Common bath</t>
        </is>
      </c>
      <c r="D10" s="4" t="n">
        <v>45.6</v>
      </c>
      <c r="E10" s="4" t="n">
        <v>4.8</v>
      </c>
      <c r="F10" s="4" t="inlineStr">
        <is>
          <t>on 7 in wet wall</t>
        </is>
      </c>
    </row>
    <row r="11">
      <c r="A11" s="4" t="inlineStr">
        <is>
          <t>SH</t>
        </is>
      </c>
      <c r="B11" s="4" t="inlineStr">
        <is>
          <t>Shower mixer (hot + cold)</t>
        </is>
      </c>
      <c r="C11" s="4" t="inlineStr">
        <is>
          <t>Common bath</t>
        </is>
      </c>
      <c r="D11" s="4" t="n">
        <v>39.8</v>
      </c>
      <c r="E11" s="4" t="n">
        <v>3.9</v>
      </c>
      <c r="F11" s="4" t="inlineStr">
        <is>
          <t>west wall, clear of the window</t>
        </is>
      </c>
    </row>
    <row r="12">
      <c r="A12" s="4" t="inlineStr">
        <is>
          <t>FT</t>
        </is>
      </c>
      <c r="B12" s="4" t="inlineStr">
        <is>
          <t>Floor trap / linear drain</t>
        </is>
      </c>
      <c r="C12" s="4" t="inlineStr">
        <is>
          <t>Common bath</t>
        </is>
      </c>
      <c r="D12" s="4" t="n">
        <v>41.2</v>
      </c>
      <c r="E12" s="4" t="n">
        <v>3.6</v>
      </c>
      <c r="F12" s="4" t="inlineStr">
        <is>
          <t>shower drain</t>
        </is>
      </c>
    </row>
    <row r="13">
      <c r="A13" s="4" t="inlineStr">
        <is>
          <t>FT</t>
        </is>
      </c>
      <c r="B13" s="4" t="inlineStr">
        <is>
          <t>Floor trap / linear drain</t>
        </is>
      </c>
      <c r="C13" s="4" t="inlineStr">
        <is>
          <t>Common bath</t>
        </is>
      </c>
      <c r="D13" s="4" t="n">
        <v>44.3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24.25</v>
      </c>
      <c r="E16" s="4" t="n">
        <v>19.4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26.4</v>
      </c>
      <c r="E18" s="4" t="n">
        <v>24.3</v>
      </c>
      <c r="F18" s="4" t="inlineStr">
        <is>
          <t>linear drain along the north wall</t>
        </is>
      </c>
    </row>
    <row r="19">
      <c r="A19" s="4" t="inlineStr">
        <is>
          <t>FT</t>
        </is>
      </c>
      <c r="B19" s="4" t="inlineStr">
        <is>
          <t>Floor trap / linear drain</t>
        </is>
      </c>
      <c r="C19" s="4" t="inlineStr">
        <is>
          <t>Bath 2 (attached to Bedroom 2)</t>
        </is>
      </c>
      <c r="D19" s="4" t="n">
        <v>25.5</v>
      </c>
      <c r="E19" s="4" t="n">
        <v>20.6</v>
      </c>
      <c r="F19" s="4" t="inlineStr">
        <is>
          <t>dry zone trap</t>
        </is>
      </c>
    </row>
    <row r="20">
      <c r="A20" s="4" t="inlineStr">
        <is>
          <t>SK</t>
        </is>
      </c>
      <c r="B20" s="4" t="inlineStr">
        <is>
          <t>Sink</t>
        </is>
      </c>
      <c r="C20" s="4" t="inlineStr">
        <is>
          <t>Wet area (open to the walkway)</t>
        </is>
      </c>
      <c r="D20" s="4" t="n">
        <v>49.85</v>
      </c>
      <c r="E20" s="4" t="n">
        <v>4.6</v>
      </c>
      <c r="F20" s="4" t="inlineStr">
        <is>
          <t>utility sink</t>
        </is>
      </c>
    </row>
    <row r="21">
      <c r="A21" s="4" t="inlineStr">
        <is>
          <t>WM</t>
        </is>
      </c>
      <c r="B21" s="4" t="inlineStr">
        <is>
          <t>Washing-machine inlet + drain</t>
        </is>
      </c>
      <c r="C21" s="4" t="inlineStr">
        <is>
          <t>Wet area (open to the walkway)</t>
        </is>
      </c>
      <c r="D21" s="4" t="n">
        <v>47.35</v>
      </c>
      <c r="E21" s="4" t="n">
        <v>7.85</v>
      </c>
      <c r="F21" s="4" t="inlineStr"/>
    </row>
    <row r="22">
      <c r="A22" s="4" t="inlineStr">
        <is>
          <t>FT</t>
        </is>
      </c>
      <c r="B22" s="4" t="inlineStr">
        <is>
          <t>Floor trap / linear drain</t>
        </is>
      </c>
      <c r="C22" s="4" t="inlineStr">
        <is>
          <t>Wet area (open to the walkway)</t>
        </is>
      </c>
      <c r="D22" s="4" t="n">
        <v>47.8</v>
      </c>
      <c r="E22" s="4" t="n">
        <v>3.6</v>
      </c>
      <c r="F22" s="4" t="inlineStr">
        <is>
          <t>floor falls out to the walkway</t>
        </is>
      </c>
    </row>
    <row r="23">
      <c r="A23" s="4" t="inlineStr">
        <is>
          <t>TAP</t>
        </is>
      </c>
      <c r="B23" s="4" t="inlineStr">
        <is>
          <t>Tap</t>
        </is>
      </c>
      <c r="C23" s="4" t="inlineStr">
        <is>
          <t>Wet area (open to the walkway)</t>
        </is>
      </c>
      <c r="D23" s="4" t="n">
        <v>50.6</v>
      </c>
      <c r="E23" s="4" t="n">
        <v>3.4</v>
      </c>
      <c r="F23" s="4" t="inlineStr">
        <is>
          <t>bucket tap, low</t>
        </is>
      </c>
    </row>
    <row r="24">
      <c r="A24" s="4" t="inlineStr">
        <is>
          <t>BS</t>
        </is>
      </c>
      <c r="B24" s="4" t="inlineStr">
        <is>
          <t>Wash basin</t>
        </is>
      </c>
      <c r="C24" s="4" t="inlineStr">
        <is>
          <t>Sitting and serving area (open)</t>
        </is>
      </c>
      <c r="D24" s="4" t="n">
        <v>32.2</v>
      </c>
      <c r="E24" s="4" t="n">
        <v>4.3</v>
      </c>
      <c r="F24" s="4" t="inlineStr">
        <is>
          <t>counter basin, waste straight out to the south walkway</t>
        </is>
      </c>
    </row>
    <row r="25">
      <c r="A25" s="4" t="inlineStr">
        <is>
          <t>SK</t>
        </is>
      </c>
      <c r="B25" s="4" t="inlineStr">
        <is>
          <t>Sink</t>
        </is>
      </c>
      <c r="C25" s="4" t="inlineStr">
        <is>
          <t>Kitchen</t>
        </is>
      </c>
      <c r="D25" s="4" t="n">
        <v>58.5</v>
      </c>
      <c r="E25" s="4" t="n">
        <v>3.5</v>
      </c>
      <c r="F25" s="4" t="inlineStr">
        <is>
          <t>single bowl + drainboard, under window</t>
        </is>
      </c>
    </row>
    <row r="26">
      <c r="A26" s="4" t="inlineStr">
        <is>
          <t>RO</t>
        </is>
      </c>
      <c r="B26" s="4" t="inlineStr">
        <is>
          <t>RO purifier point</t>
        </is>
      </c>
      <c r="C26" s="4" t="inlineStr">
        <is>
          <t>Kitchen</t>
        </is>
      </c>
      <c r="D26" s="4" t="n">
        <v>57.3</v>
      </c>
      <c r="E26" s="4" t="n">
        <v>3.5</v>
      </c>
      <c r="F26" s="4" t="inlineStr"/>
    </row>
    <row r="27">
      <c r="A27" s="4" t="inlineStr">
        <is>
          <t>FT</t>
        </is>
      </c>
      <c r="B27" s="4" t="inlineStr">
        <is>
          <t>Floor trap / linear drain</t>
        </is>
      </c>
      <c r="C27" s="4" t="inlineStr">
        <is>
          <t>Kitchen</t>
        </is>
      </c>
      <c r="D27" s="4" t="n">
        <v>62</v>
      </c>
      <c r="E27" s="4" t="n">
        <v>12.5</v>
      </c>
      <c r="F27" s="4" t="inlineStr">
        <is>
          <t>cleaning trap</t>
        </is>
      </c>
    </row>
    <row r="28">
      <c r="A28" s="4" t="inlineStr">
        <is>
          <t>TAP</t>
        </is>
      </c>
      <c r="B28" s="4" t="inlineStr">
        <is>
          <t>Tap</t>
        </is>
      </c>
      <c r="C28" s="4" t="inlineStr">
        <is>
          <t>Site</t>
        </is>
      </c>
      <c r="D28" s="4" t="n">
        <v>67.59999999999999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70.5</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44.8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58.5</v>
      </c>
      <c r="E35" s="4" t="n">
        <v>1</v>
      </c>
      <c r="F35" s="4" t="inlineStr">
        <is>
          <t>grease trap</t>
        </is>
      </c>
    </row>
    <row r="36">
      <c r="A36" s="4" t="inlineStr">
        <is>
          <t>IC</t>
        </is>
      </c>
      <c r="B36" s="4" t="inlineStr">
        <is>
          <t>Inspection chamber</t>
        </is>
      </c>
      <c r="C36" s="4" t="inlineStr">
        <is>
          <t>Site</t>
        </is>
      </c>
      <c r="D36" s="4" t="n">
        <v>47.8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22.5</v>
      </c>
      <c r="E41" s="4" t="n">
        <v>26.6</v>
      </c>
      <c r="F41" s="4" t="inlineStr">
        <is>
          <t>IC-10 Bath 2 soil</t>
        </is>
      </c>
    </row>
    <row r="42">
      <c r="A42" s="4" t="inlineStr">
        <is>
          <t>IC</t>
        </is>
      </c>
      <c r="B42" s="4" t="inlineStr">
        <is>
          <t>Inspection chamber</t>
        </is>
      </c>
      <c r="C42" s="4" t="inlineStr">
        <is>
          <t>Site</t>
        </is>
      </c>
      <c r="D42" s="4" t="n">
        <v>26.4</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tall pantry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trench,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Layout</t>
        </is>
      </c>
      <c r="C2" s="4" t="inlineStr">
        <is>
          <t>TV on Bedroom 2's east wall facing the dining bay: confirm screen size (55-65 in at about 9 ft) and a concealed HDMI/data conduit from the unit</t>
        </is>
      </c>
      <c r="D2" s="4" t="inlineStr">
        <is>
          <t>Owner</t>
        </is>
      </c>
      <c r="E2" s="8" t="inlineStr">
        <is>
          <t>Open</t>
        </is>
      </c>
    </row>
    <row r="3">
      <c r="A3" s="4" t="n">
        <v>2</v>
      </c>
      <c r="B3" s="4" t="inlineStr">
        <is>
          <t>Land</t>
        </is>
      </c>
      <c r="C3" s="4" t="inlineStr">
        <is>
          <t>Agricultural land: confirm conversion to non-agricultural use with the gram panchayat / collector (AP repealed the NALA Act in 2025; new process to be confirmed)</t>
        </is>
      </c>
      <c r="D3" s="4" t="inlineStr">
        <is>
          <t>Owner / surveyor</t>
        </is>
      </c>
      <c r="E3" s="8" t="inlineStr">
        <is>
          <t>Open</t>
        </is>
      </c>
    </row>
    <row r="4">
      <c r="A4" s="4" t="n">
        <v>3</v>
      </c>
      <c r="B4" s="4" t="inlineStr">
        <is>
          <t>Land</t>
        </is>
      </c>
      <c r="C4" s="4" t="inlineStr">
        <is>
          <t>Building permission route (panchayat vs DTCP / APCRDA via APDPMS) and setbacks under AP Building Rules 2017</t>
        </is>
      </c>
      <c r="D4" s="4" t="inlineStr">
        <is>
          <t>Architect</t>
        </is>
      </c>
      <c r="E4" s="8" t="inlineStr">
        <is>
          <t>Open</t>
        </is>
      </c>
    </row>
    <row r="5">
      <c r="A5" s="4" t="n">
        <v>4</v>
      </c>
      <c r="B5" s="4" t="inlineStr">
        <is>
          <t>Land</t>
        </is>
      </c>
      <c r="C5" s="4" t="inlineStr">
        <is>
          <t>Plot 27 ft x 75 ft (length to confirm by survey): north wall is 2 ft from the plot line and eaves overhang the owned north strip; septic and soak trench sit in the strip</t>
        </is>
      </c>
      <c r="D5" s="4" t="inlineStr">
        <is>
          <t>Architect</t>
        </is>
      </c>
      <c r="E5" s="8" t="inlineStr">
        <is>
          <t>Open</t>
        </is>
      </c>
    </row>
    <row r="6">
      <c r="A6" s="4" t="n">
        <v>5</v>
      </c>
      <c r="B6" s="4" t="inlineStr">
        <is>
          <t>Soil</t>
        </is>
      </c>
      <c r="C6" s="4" t="inlineStr">
        <is>
          <t>Soil test (bore holes to 3 m min): black cotton soil is common in Guntur. Foundation type (isolated footings below active zone, under-reamed piles, or soil replacement) depends on it</t>
        </is>
      </c>
      <c r="D6" s="4" t="inlineStr">
        <is>
          <t>Structural engineer</t>
        </is>
      </c>
      <c r="E6" s="8" t="inlineStr">
        <is>
          <t>Open</t>
        </is>
      </c>
    </row>
    <row r="7">
      <c r="A7" s="4" t="n">
        <v>6</v>
      </c>
      <c r="B7" s="4" t="inlineStr">
        <is>
          <t>Structure</t>
        </is>
      </c>
      <c r="C7" s="4" t="inlineStr">
        <is>
          <t>RCC frame with AAC infill: columns, plinth beam, lintel band, ring beam; steel truss with cyclone tie-downs</t>
        </is>
      </c>
      <c r="D7" s="4" t="inlineStr">
        <is>
          <t>Structural engineer</t>
        </is>
      </c>
      <c r="E7" s="8" t="inlineStr">
        <is>
          <t>Open</t>
        </is>
      </c>
    </row>
    <row r="8">
      <c r="A8" s="4" t="n">
        <v>7</v>
      </c>
      <c r="B8" s="4" t="inlineStr">
        <is>
          <t>Security</t>
        </is>
      </c>
      <c r="C8" s="4" t="inlineStr">
        <is>
          <t>Wet area is open to the walkway: lockable steel/WPC kitchen-to-wet-area door, compound wall and gate at the back; optional MS grille shutter across the wet area opening</t>
        </is>
      </c>
      <c r="D8" s="4" t="inlineStr">
        <is>
          <t>Owner / architect</t>
        </is>
      </c>
      <c r="E8" s="8" t="inlineStr">
        <is>
          <t>Open</t>
        </is>
      </c>
    </row>
    <row r="9">
      <c r="A9" s="4" t="n">
        <v>8</v>
      </c>
      <c r="B9" s="4" t="inlineStr">
        <is>
          <t>Services</t>
        </is>
      </c>
      <c r="C9" s="4" t="inlineStr">
        <is>
          <t>Groundwater: test TDS, hardness, fluoride. Plan RO for drinking and a softener for bathrooms if hardness is high</t>
        </is>
      </c>
      <c r="D9" s="4" t="inlineStr">
        <is>
          <t>Plumber / owner</t>
        </is>
      </c>
      <c r="E9" s="8" t="inlineStr">
        <is>
          <t>Open</t>
        </is>
      </c>
    </row>
    <row r="10">
      <c r="A10" s="4" t="n">
        <v>9</v>
      </c>
      <c r="B10" s="4" t="inlineStr">
        <is>
          <t>Services</t>
        </is>
      </c>
      <c r="C10" s="4" t="inlineStr">
        <is>
          <t>Septic tank size and soak trench length (percolation test); keep soak trenches and gardens 6 ft+ from foundations in expansive soil</t>
        </is>
      </c>
      <c r="D10" s="4" t="inlineStr">
        <is>
          <t>Engineer</t>
        </is>
      </c>
      <c r="E10" s="8" t="inlineStr">
        <is>
          <t>Open</t>
        </is>
      </c>
    </row>
    <row r="11">
      <c r="A11" s="4" t="n">
        <v>10</v>
      </c>
      <c r="B11" s="4" t="inlineStr">
        <is>
          <t>Services</t>
        </is>
      </c>
      <c r="C11" s="4" t="inlineStr">
        <is>
          <t>Electrical load (with ACs), service connection size, earthing, inverter / solar PV</t>
        </is>
      </c>
      <c r="D11" s="4" t="inlineStr">
        <is>
          <t>Electrical engineer</t>
        </is>
      </c>
      <c r="E11" s="8" t="inlineStr">
        <is>
          <t>Open</t>
        </is>
      </c>
    </row>
    <row r="12">
      <c r="A12" s="4" t="n">
        <v>11</v>
      </c>
      <c r="B12" s="4" t="inlineStr">
        <is>
          <t>Phase 2</t>
        </is>
      </c>
      <c r="C12" s="4" t="inlineStr">
        <is>
          <t>Phase 2 on the north strip will block north light and sits on the septic: plan the split now</t>
        </is>
      </c>
      <c r="D12" s="4" t="inlineStr">
        <is>
          <t>Architect</t>
        </is>
      </c>
      <c r="E12" s="8" t="inlineStr">
        <is>
          <t>Deferred by owner</t>
        </is>
      </c>
    </row>
    <row r="13">
      <c r="A13" s="4" t="n">
        <v>12</v>
      </c>
      <c r="B13" s="4" t="inlineStr">
        <is>
          <t>Vastu</t>
        </is>
      </c>
      <c r="C13"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3" s="4" t="inlineStr">
        <is>
          <t>Vastu consultant</t>
        </is>
      </c>
      <c r="E13" s="8" t="inlineStr">
        <is>
          <t>To confirm</t>
        </is>
      </c>
    </row>
    <row r="14">
      <c r="A14" s="4" t="n">
        <v>13</v>
      </c>
      <c r="B14" s="4" t="inlineStr">
        <is>
          <t>Climate</t>
        </is>
      </c>
      <c r="C14" s="4" t="inlineStr">
        <is>
          <t>Roof heat: insulation, ventilated attic, ventilator lantern louvres and shutters; ODU positions on shaded walls</t>
        </is>
      </c>
      <c r="D14" s="4" t="inlineStr">
        <is>
          <t>Architect</t>
        </is>
      </c>
      <c r="E14" s="8" t="inlineStr">
        <is>
          <t>Open</t>
        </is>
      </c>
    </row>
    <row r="15">
      <c r="A15" s="4" t="n">
        <v>14</v>
      </c>
      <c r="B15" s="4" t="inlineStr">
        <is>
          <t>Levels</t>
        </is>
      </c>
      <c r="C15" s="4" t="inlineStr">
        <is>
          <t>Survey road and field levels; plinth at 2 ft above finished ground (raise if site floods)</t>
        </is>
      </c>
      <c r="D15" s="4" t="inlineStr">
        <is>
          <t>Surveyor / architect</t>
        </is>
      </c>
      <c r="E15"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38"/>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60 ft x 22 ft with the same 10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15">
      <c r="A15" s="4" t="n">
        <v>14</v>
      </c>
      <c r="B15"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16">
      <c r="A16" s="4" t="n">
        <v>15</v>
      </c>
      <c r="B16"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17">
      <c r="A17" s="4" t="n">
        <v>16</v>
      </c>
      <c r="B17" s="4" t="inlineStr">
        <is>
          <t>Common bath widened to 6'-6" x 6' (about 6'-0" x 5'-5" clear: 3 x 3 ft shower, WC and basin on the wet wall) by taking 1'-6" from the east end of the sitting area; serving counter now 6 ft.</t>
        </is>
      </c>
    </row>
    <row r="18">
      <c r="A18" s="4" t="n">
        <v>17</v>
      </c>
      <c r="B18"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19">
      <c r="A19" s="4" t="n">
        <v>18</v>
      </c>
      <c r="B19"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0">
      <c r="A20" s="4" t="n">
        <v>19</v>
      </c>
      <c r="B20"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1">
      <c r="A21" s="4" t="n">
        <v>20</v>
      </c>
      <c r="B21"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2">
      <c r="A22" s="4" t="n">
        <v>21</v>
      </c>
      <c r="B22"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3">
      <c r="A23" s="4" t="n">
        <v>22</v>
      </c>
      <c r="B23" s="4" t="inlineStr">
        <is>
          <t>Seventh review: Bedroom 2 enlarged to 12 x 16 ft by taking the hall strip; its door opens from the sitting area (as the master suite does); hand-wash basin back at the west end of the serving counter.</t>
        </is>
      </c>
    </row>
    <row r="24">
      <c r="A24" s="4" t="n">
        <v>23</v>
      </c>
      <c r="B24" s="4" t="inlineStr">
        <is>
          <t>Sixth review: Office 2 walls and sliding door left out for now (open workstation in the master suite, walls can be added later); Bedroom 2 becomes a study-guest room: work table with monitor beside the bath, sofa-cum-bed instead of a queen bed.</t>
        </is>
      </c>
    </row>
    <row r="25">
      <c r="A25" s="4" t="n">
        <v>24</v>
      </c>
      <c r="B25" s="4" t="inlineStr">
        <is>
          <t>Office 1 removed after family review: one office (Office 2) inside the master suite; Bedroom 2 has its own work desk.</t>
        </is>
      </c>
    </row>
    <row r="26">
      <c r="A26" s="4" t="n">
        <v>25</v>
      </c>
      <c r="B26" s="4" t="inlineStr">
        <is>
          <t>Common bathroom moved to the north side (old pooja spot), entered from the dining corner next to the hall.</t>
        </is>
      </c>
    </row>
    <row r="27">
      <c r="A27" s="4" t="n">
        <v>26</v>
      </c>
      <c r="B27"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28">
      <c r="A28" s="4" t="n">
        <v>27</v>
      </c>
      <c r="B28" s="4" t="inlineStr">
        <is>
          <t>Pooja moved beside the wet area and opened to the west (idols face west, the family sits in the nook facing east); shared wall kept dry with no pipes, pooja floor 3 in higher; basin nook shifted west.</t>
        </is>
      </c>
    </row>
    <row r="29">
      <c r="A29" s="4" t="n">
        <v>28</v>
      </c>
      <c r="B29"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0">
      <c r="A30" s="4" t="n">
        <v>29</v>
      </c>
      <c r="B30"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1">
      <c r="A31" s="4" t="n">
        <v>30</v>
      </c>
      <c r="B31" s="4" t="inlineStr">
        <is>
          <t>Earlier: walk-in wardrobe turned into a family store with a lockable door from the sitting area (inverter inside); built-in sliding wardrobes in the dressing alcove and on the master bedroom's south wall.</t>
        </is>
      </c>
    </row>
    <row r="32">
      <c r="A32" s="4" t="n">
        <v>31</v>
      </c>
      <c r="B32"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3">
      <c r="A33" s="4" t="n">
        <v>32</v>
      </c>
      <c r="B33" s="4" t="inlineStr">
        <is>
          <t>Wet area reduced to 6 x 6 ft and left open on its south side to the walkway (service route from the kitchen to the back of the house); kitchen door moved to face the dining (3 ft sliding glass); basin nook widened to 8 ft with a 6 ft serving counter.</t>
        </is>
      </c>
    </row>
    <row r="34">
      <c r="A34" s="4" t="n">
        <v>33</v>
      </c>
      <c r="B34" s="4" t="inlineStr">
        <is>
          <t>Main door moved to the south part of the living's east wall (still north of the house's centre line); TV on the north part of that wall; steps, swing and arugu seats rearranged on the poomukham.</t>
        </is>
      </c>
    </row>
    <row r="35">
      <c r="A35" s="4" t="n">
        <v>34</v>
      </c>
      <c r="B35"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36">
      <c r="A36" s="4" t="n">
        <v>35</v>
      </c>
      <c r="B36" s="4" t="inlineStr">
        <is>
          <t>Earlier: hall widened to 4 ft clear (Bedroom 2 gives up 6 in); vents above the office, walk-in, store, pooja and kitchen doors; none at bedrooms or bathrooms (sound privacy).</t>
        </is>
      </c>
    </row>
    <row r="37">
      <c r="A37" s="4" t="n">
        <v>36</v>
      </c>
      <c r="B37" s="4" t="inlineStr">
        <is>
          <t>Ensuite widened by 1'-6" into the master (about 6'-0" x 7'-4" clear); dressing widened by the same strip; master now 9'-6" x 14'-0".</t>
        </is>
      </c>
    </row>
    <row r="38">
      <c r="A38" s="4" t="n">
        <v>37</v>
      </c>
      <c r="B38"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2026-10-30T17:49:06Z</dcterms:created>
  <dcterms:modified xsi:type="dcterms:W3CDTF">2026-10-30T17:49:06Z</dcterms:modified>
</cp:coreProperties>
</file>