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_Me" sheetId="1" state="visible" r:id="rId1"/>
    <sheet name="Rooms" sheetId="2" state="visible" r:id="rId2"/>
    <sheet name="Doors" sheetId="3" state="visible" r:id="rId3"/>
    <sheet name="Windows" sheetId="4" state="visible" r:id="rId4"/>
    <sheet name="Furniture" sheetId="5" state="visible" r:id="rId5"/>
    <sheet name="Finishes" sheetId="6" state="visible" r:id="rId6"/>
    <sheet name="Specification" sheetId="7" state="visible" r:id="rId7"/>
    <sheet name="Quantities" sheetId="8" state="visible" r:id="rId8"/>
    <sheet name="Electrical" sheetId="9" state="visible" r:id="rId9"/>
    <sheet name="Plumbing" sheetId="10" state="visible" r:id="rId10"/>
    <sheet name="Checklist" sheetId="11" state="visible" r:id="rId11"/>
    <sheet name="Hold_Points" sheetId="12" state="visible" r:id="rId12"/>
    <sheet name="Open_Issues" sheetId="13" state="visible" r:id="rId13"/>
    <sheet name="Decis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#"/>
    <numFmt numFmtId="166" formatCode="#,##0;(#,##0);-"/>
  </numFmts>
  <fonts count="5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2F6B4F"/>
      </patternFill>
    </fill>
    <fill>
      <patternFill patternType="solid">
        <fgColor rgb="00E8EFEA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C8C8C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166" fontId="2" fillId="0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Claude</author>
  </authors>
  <commentList>
    <comment ref="G1" authorId="0" shapeId="0">
      <text>
        <t>1 sq ft = 0.092903 sq m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I1" authorId="0" shapeId="0">
      <text>
        <t>Your estimate per unit, in rupees. Leave blank until you have a quote.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F1" authorId="0" shapeId="0">
      <text>
        <t>Fill from local contractor or supplier quotes. Quantities are approximate take-offs from the model.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E1" authorId="0" shapeId="0">
      <text>
        <t>Mark Agreed / Changed / Not needed after reviewing with your architect.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Kerala Home, Phase 1: schedules</t>
        </is>
      </c>
    </row>
    <row r="2">
      <c r="A2" s="2" t="inlineStr">
        <is>
          <t>Site: Guntur, Andhra Pradesh (agricultural land: conversion to be confirmed). Stage: Draft for professional review. Revision B (pre-construction draft), 30 Oct 2026.</t>
        </is>
      </c>
    </row>
    <row r="3">
      <c r="A3" s="2" t="inlineStr">
        <is>
          <t>Dimensions in feet. Centreline sizes match the plan grid; clear sizes are wall face to wall face after plaster.</t>
        </is>
      </c>
    </row>
    <row r="4">
      <c r="A4" s="2" t="inlineStr"/>
    </row>
    <row r="5">
      <c r="A5" s="1" t="inlineStr">
        <is>
          <t>How to use</t>
        </is>
      </c>
    </row>
    <row r="6">
      <c r="A6" s="2" t="inlineStr">
        <is>
          <t>Yellow cells are for you to fill in (budget estimates, chosen products, status). Everything else is calculated or drawn from the plan.</t>
        </is>
      </c>
    </row>
    <row r="7">
      <c r="A7" s="2" t="inlineStr">
        <is>
          <t>Example: in Furniture, type 18000 in 'Est. unit cost (Rs)' for an item costing Rs 18,000; the line total and grand total update automatically.</t>
        </is>
      </c>
    </row>
    <row r="8">
      <c r="A8" s="2" t="inlineStr">
        <is>
          <t>Areas, heights and totals are formulas, so editing a room's size updates its area.</t>
        </is>
      </c>
    </row>
    <row r="9">
      <c r="A9" s="2" t="inlineStr"/>
    </row>
    <row r="10">
      <c r="A10" s="1" t="inlineStr">
        <is>
          <t>Tabs</t>
        </is>
      </c>
    </row>
    <row r="11">
      <c r="A11" s="2" t="inlineStr">
        <is>
          <t>Rooms: room sizes and areas.  Doors / Windows: opening sizes and types.  Furniture: every furniture item, fixture and built-in, with budget columns.</t>
        </is>
      </c>
    </row>
    <row r="12">
      <c r="A12" s="2" t="inlineStr">
        <is>
          <t>Finishes: floor, wall and ceiling finishes.  Specification: materials and why (Guntur conditions).  Quantities: take-off for pricing, with rate cells.</t>
        </is>
      </c>
    </row>
    <row r="13">
      <c r="A13" s="2" t="inlineStr">
        <is>
          <t>Electrical / Plumbing: every point with room and height.  Checklist: room-by-room mistakes to avoid, with a status column.  Hold_Points: inspections before work is covered.</t>
        </is>
      </c>
    </row>
    <row r="14">
      <c r="A14" s="2" t="inlineStr">
        <is>
          <t>Open_Issues: items to resolve with professionals.  Decisions: what has been agreed so far.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4" customWidth="1" min="3" max="3"/>
    <col width="9" customWidth="1" min="4" max="4"/>
    <col width="9" customWidth="1" min="5" max="5"/>
    <col width="11" customWidth="1" min="6" max="6"/>
    <col width="11" customWidth="1" min="7" max="7"/>
    <col width="10" customWidth="1" min="8" max="8"/>
    <col width="10" customWidth="1" min="9" max="9"/>
    <col width="11" customWidth="1" min="10" max="10"/>
    <col width="11" customWidth="1" min="11" max="11"/>
    <col width="16" customWidth="1" min="12" max="12"/>
    <col width="34" customWidth="1" min="13" max="13"/>
  </cols>
  <sheetData>
    <row r="1" ht="30" customHeight="1">
      <c r="A1" s="3" t="inlineStr">
        <is>
          <t>ID</t>
        </is>
      </c>
      <c r="B1" s="3" t="inlineStr">
        <is>
          <t>Room</t>
        </is>
      </c>
      <c r="C1" s="3" t="inlineStr">
        <is>
          <t>Zone</t>
        </is>
      </c>
      <c r="D1" s="3" t="inlineStr">
        <is>
          <t>E-W (ft)</t>
        </is>
      </c>
      <c r="E1" s="3" t="inlineStr">
        <is>
          <t>N-S (ft)</t>
        </is>
      </c>
      <c r="F1" s="3" t="inlineStr">
        <is>
          <t>Area (sq ft)</t>
        </is>
      </c>
      <c r="G1" s="3" t="inlineStr">
        <is>
          <t>Area (sq m)</t>
        </is>
      </c>
      <c r="H1" s="3" t="inlineStr">
        <is>
          <t>Clear E-W (ft)</t>
        </is>
      </c>
      <c r="I1" s="3" t="inlineStr">
        <is>
          <t>Clear N-S (ft)</t>
        </is>
      </c>
      <c r="J1" s="3" t="inlineStr">
        <is>
          <t>Clear area (sq ft)</t>
        </is>
      </c>
      <c r="K1" s="3" t="inlineStr">
        <is>
          <t>Floor level</t>
        </is>
      </c>
      <c r="L1" s="3" t="inlineStr">
        <is>
          <t>Ceiling</t>
        </is>
      </c>
      <c r="M1" s="3" t="inlineStr">
        <is>
          <t>Notes</t>
        </is>
      </c>
    </row>
    <row r="2">
      <c r="A2" s="4" t="inlineStr">
        <is>
          <t>R01</t>
        </is>
      </c>
      <c r="B2" s="4" t="inlineStr">
        <is>
          <t>Office 2</t>
        </is>
      </c>
      <c r="C2" s="4" t="inlineStr">
        <is>
          <t>Master suite</t>
        </is>
      </c>
      <c r="D2" s="4" t="n">
        <v>9</v>
      </c>
      <c r="E2" s="4" t="n">
        <v>8</v>
      </c>
      <c r="F2" s="5">
        <f>D2*E2</f>
        <v/>
      </c>
      <c r="G2" s="5">
        <f>F2*0.092903</f>
        <v/>
      </c>
      <c r="H2" s="5" t="n">
        <v>8.41</v>
      </c>
      <c r="I2" s="5" t="n">
        <v>7.42</v>
      </c>
      <c r="J2" s="5">
        <f>H2*I2</f>
        <v/>
      </c>
      <c r="K2" s="4" t="inlineStr">
        <is>
          <t>+2'-0"</t>
        </is>
      </c>
      <c r="L2" s="4" t="inlineStr">
        <is>
          <t>Flat 9'-6"</t>
        </is>
      </c>
      <c r="M2" s="4" t="inlineStr"/>
    </row>
    <row r="3">
      <c r="A3" s="4" t="inlineStr">
        <is>
          <t>R02</t>
        </is>
      </c>
      <c r="B3" s="4" t="inlineStr">
        <is>
          <t>Walk-in wardrobe</t>
        </is>
      </c>
      <c r="C3" s="4" t="inlineStr">
        <is>
          <t>Master suite</t>
        </is>
      </c>
      <c r="D3" s="4" t="n">
        <v>7</v>
      </c>
      <c r="E3" s="4" t="n">
        <v>8</v>
      </c>
      <c r="F3" s="5">
        <f>D3*E3</f>
        <v/>
      </c>
      <c r="G3" s="5">
        <f>F3*0.092903</f>
        <v/>
      </c>
      <c r="H3" s="5" t="n">
        <v>6.58</v>
      </c>
      <c r="I3" s="5" t="n">
        <v>7.42</v>
      </c>
      <c r="J3" s="5">
        <f>H3*I3</f>
        <v/>
      </c>
      <c r="K3" s="4" t="inlineStr">
        <is>
          <t>+2'-0"</t>
        </is>
      </c>
      <c r="L3" s="4" t="inlineStr">
        <is>
          <t>Flat 9'-6"</t>
        </is>
      </c>
      <c r="M3" s="4" t="inlineStr"/>
    </row>
    <row r="4">
      <c r="A4" s="4" t="inlineStr">
        <is>
          <t>R03</t>
        </is>
      </c>
      <c r="B4" s="4" t="inlineStr">
        <is>
          <t>Dressing alcove</t>
        </is>
      </c>
      <c r="C4" s="4" t="inlineStr">
        <is>
          <t>Master suite</t>
        </is>
      </c>
      <c r="D4" s="4" t="n">
        <v>6.5</v>
      </c>
      <c r="E4" s="4" t="n">
        <v>6</v>
      </c>
      <c r="F4" s="5">
        <f>D4*E4</f>
        <v/>
      </c>
      <c r="G4" s="5">
        <f>F4*0.092903</f>
        <v/>
      </c>
      <c r="H4" s="5" t="n">
        <v>6.12</v>
      </c>
      <c r="I4" s="5" t="n">
        <v>5.5</v>
      </c>
      <c r="J4" s="5">
        <f>H4*I4</f>
        <v/>
      </c>
      <c r="K4" s="4" t="inlineStr">
        <is>
          <t>+2'-0"</t>
        </is>
      </c>
      <c r="L4" s="4" t="inlineStr">
        <is>
          <t>Flat 9'-6"</t>
        </is>
      </c>
      <c r="M4" s="4" t="inlineStr"/>
    </row>
    <row r="5">
      <c r="A5" s="4" t="inlineStr">
        <is>
          <t>R04</t>
        </is>
      </c>
      <c r="B5" s="4" t="inlineStr">
        <is>
          <t>Ensuite</t>
        </is>
      </c>
      <c r="C5" s="4" t="inlineStr">
        <is>
          <t>Master suite</t>
        </is>
      </c>
      <c r="D5" s="4" t="n">
        <v>6.5</v>
      </c>
      <c r="E5" s="4" t="n">
        <v>8</v>
      </c>
      <c r="F5" s="5">
        <f>D5*E5</f>
        <v/>
      </c>
      <c r="G5" s="5">
        <f>F5*0.092903</f>
        <v/>
      </c>
      <c r="H5" s="5" t="n">
        <v>5.92</v>
      </c>
      <c r="I5" s="5" t="n">
        <v>7.33</v>
      </c>
      <c r="J5" s="5">
        <f>H5*I5</f>
        <v/>
      </c>
      <c r="K5" s="4" t="inlineStr">
        <is>
          <t>+1'-11.5"</t>
        </is>
      </c>
      <c r="L5" s="4" t="inlineStr">
        <is>
          <t>Flat 8'-6"</t>
        </is>
      </c>
      <c r="M5" s="4" t="inlineStr">
        <is>
          <t>Widened 1'-6" into the master: WC, 3'-6" vanity, walk-in shower</t>
        </is>
      </c>
    </row>
    <row r="6">
      <c r="A6" s="4" t="inlineStr">
        <is>
          <t>R05</t>
        </is>
      </c>
      <c r="B6" s="4" t="inlineStr">
        <is>
          <t>Master bedroom</t>
        </is>
      </c>
      <c r="C6" s="4" t="inlineStr">
        <is>
          <t>Master suite</t>
        </is>
      </c>
      <c r="D6" s="4" t="n">
        <v>9.5</v>
      </c>
      <c r="E6" s="4" t="n">
        <v>14</v>
      </c>
      <c r="F6" s="5">
        <f>D6*E6</f>
        <v/>
      </c>
      <c r="G6" s="5">
        <f>F6*0.092903</f>
        <v/>
      </c>
      <c r="H6" s="5" t="n">
        <v>9.08</v>
      </c>
      <c r="I6" s="5" t="n">
        <v>13.41</v>
      </c>
      <c r="J6" s="5">
        <f>H6*I6</f>
        <v/>
      </c>
      <c r="K6" s="4" t="inlineStr">
        <is>
          <t>+2'-0"</t>
        </is>
      </c>
      <c r="L6" s="4" t="inlineStr">
        <is>
          <t>Flat 9'-6"</t>
        </is>
      </c>
      <c r="M6" s="4" t="inlineStr"/>
    </row>
    <row r="7">
      <c r="A7" s="4" t="inlineStr">
        <is>
          <t>R06</t>
        </is>
      </c>
      <c r="B7" s="4" t="inlineStr">
        <is>
          <t>Office 1</t>
        </is>
      </c>
      <c r="C7" s="4" t="inlineStr">
        <is>
          <t>Work</t>
        </is>
      </c>
      <c r="D7" s="4" t="n">
        <v>9</v>
      </c>
      <c r="E7" s="4" t="n">
        <v>8</v>
      </c>
      <c r="F7" s="5">
        <f>D7*E7</f>
        <v/>
      </c>
      <c r="G7" s="5">
        <f>F7*0.092903</f>
        <v/>
      </c>
      <c r="H7" s="5" t="n">
        <v>8.58</v>
      </c>
      <c r="I7" s="5" t="n">
        <v>7.42</v>
      </c>
      <c r="J7" s="5">
        <f>H7*I7</f>
        <v/>
      </c>
      <c r="K7" s="4" t="inlineStr">
        <is>
          <t>+2'-0"</t>
        </is>
      </c>
      <c r="L7" s="4" t="inlineStr">
        <is>
          <t>Flat 9'-6"</t>
        </is>
      </c>
      <c r="M7" s="4" t="inlineStr"/>
    </row>
    <row r="8">
      <c r="A8" s="4" t="inlineStr">
        <is>
          <t>R07</t>
        </is>
      </c>
      <c r="B8" s="4" t="inlineStr">
        <is>
          <t>Bath 2</t>
        </is>
      </c>
      <c r="C8" s="4" t="inlineStr">
        <is>
          <t>Service</t>
        </is>
      </c>
      <c r="D8" s="4" t="n">
        <v>6</v>
      </c>
      <c r="E8" s="4" t="n">
        <v>8</v>
      </c>
      <c r="F8" s="5">
        <f>D8*E8</f>
        <v/>
      </c>
      <c r="G8" s="5">
        <f>F8*0.092903</f>
        <v/>
      </c>
      <c r="H8" s="5" t="n">
        <v>5.5</v>
      </c>
      <c r="I8" s="5" t="n">
        <v>7.33</v>
      </c>
      <c r="J8" s="5">
        <f>H8*I8</f>
        <v/>
      </c>
      <c r="K8" s="4" t="inlineStr">
        <is>
          <t>+1'-11.5"</t>
        </is>
      </c>
      <c r="L8" s="4" t="inlineStr">
        <is>
          <t>Flat 8'-6"</t>
        </is>
      </c>
      <c r="M8" s="4" t="inlineStr"/>
    </row>
    <row r="9">
      <c r="A9" s="4" t="inlineStr">
        <is>
          <t>R08</t>
        </is>
      </c>
      <c r="B9" s="4" t="inlineStr">
        <is>
          <t>Hall</t>
        </is>
      </c>
      <c r="C9" s="4" t="inlineStr">
        <is>
          <t>Circulation</t>
        </is>
      </c>
      <c r="D9" s="4" t="n">
        <v>12</v>
      </c>
      <c r="E9" s="4" t="n">
        <v>4.5</v>
      </c>
      <c r="F9" s="5">
        <f>D9*E9</f>
        <v/>
      </c>
      <c r="G9" s="5">
        <f>F9*0.092903</f>
        <v/>
      </c>
      <c r="H9" s="5" t="n">
        <v>11.79</v>
      </c>
      <c r="I9" s="5" t="n">
        <v>4</v>
      </c>
      <c r="J9" s="5">
        <f>H9*I9</f>
        <v/>
      </c>
      <c r="K9" s="4" t="inlineStr">
        <is>
          <t>+2'-0"</t>
        </is>
      </c>
      <c r="L9" s="4" t="inlineStr">
        <is>
          <t>Flat 9'-6"</t>
        </is>
      </c>
      <c r="M9" s="4" t="inlineStr"/>
    </row>
    <row r="10">
      <c r="A10" s="4" t="inlineStr">
        <is>
          <t>R09</t>
        </is>
      </c>
      <c r="B10" s="4" t="inlineStr">
        <is>
          <t>Bedroom 2</t>
        </is>
      </c>
      <c r="C10" s="4" t="inlineStr">
        <is>
          <t>Private</t>
        </is>
      </c>
      <c r="D10" s="4" t="n">
        <v>12</v>
      </c>
      <c r="E10" s="4" t="n">
        <v>9.5</v>
      </c>
      <c r="F10" s="5">
        <f>D10*E10</f>
        <v/>
      </c>
      <c r="G10" s="5">
        <f>F10*0.092903</f>
        <v/>
      </c>
      <c r="H10" s="5" t="n">
        <v>11.58</v>
      </c>
      <c r="I10" s="5" t="n">
        <v>8.91</v>
      </c>
      <c r="J10" s="5">
        <f>H10*I10</f>
        <v/>
      </c>
      <c r="K10" s="4" t="inlineStr">
        <is>
          <t>+2'-0"</t>
        </is>
      </c>
      <c r="L10" s="4" t="inlineStr">
        <is>
          <t>Flat 9'-6"</t>
        </is>
      </c>
      <c r="M10" s="4" t="inlineStr">
        <is>
          <t>Includes 2' x 6' built-in wardrobe</t>
        </is>
      </c>
    </row>
    <row r="11">
      <c r="A11" s="4" t="inlineStr">
        <is>
          <t>R10</t>
        </is>
      </c>
      <c r="B11" s="4" t="inlineStr">
        <is>
          <t>Dining</t>
        </is>
      </c>
      <c r="C11" s="4" t="inlineStr">
        <is>
          <t>Living</t>
        </is>
      </c>
      <c r="D11" s="4" t="n">
        <v>9</v>
      </c>
      <c r="E11" s="4" t="n">
        <v>8</v>
      </c>
      <c r="F11" s="5">
        <f>D11*E11</f>
        <v/>
      </c>
      <c r="G11" s="5">
        <f>F11*0.092903</f>
        <v/>
      </c>
      <c r="H11" s="5" t="n">
        <v>8.789999999999999</v>
      </c>
      <c r="I11" s="5" t="n">
        <v>7.5</v>
      </c>
      <c r="J11" s="5">
        <f>H11*I11</f>
        <v/>
      </c>
      <c r="K11" s="4" t="inlineStr">
        <is>
          <t>+2'-0"</t>
        </is>
      </c>
      <c r="L11" s="4" t="inlineStr">
        <is>
          <t>Sloped (open to ventilator)</t>
        </is>
      </c>
      <c r="M11" s="4" t="inlineStr">
        <is>
          <t>Under the ventilator lantern, at plot centre</t>
        </is>
      </c>
    </row>
    <row r="12">
      <c r="A12" s="4" t="inlineStr">
        <is>
          <t>R11</t>
        </is>
      </c>
      <c r="B12" s="4" t="inlineStr">
        <is>
          <t>Pooja</t>
        </is>
      </c>
      <c r="C12" s="4" t="inlineStr">
        <is>
          <t>Living</t>
        </is>
      </c>
      <c r="D12" s="4" t="n">
        <v>9</v>
      </c>
      <c r="E12" s="4" t="n">
        <v>6</v>
      </c>
      <c r="F12" s="5">
        <f>D12*E12</f>
        <v/>
      </c>
      <c r="G12" s="5">
        <f>F12*0.092903</f>
        <v/>
      </c>
      <c r="H12" s="5" t="n">
        <v>8.58</v>
      </c>
      <c r="I12" s="5" t="n">
        <v>5.42</v>
      </c>
      <c r="J12" s="5">
        <f>H12*I12</f>
        <v/>
      </c>
      <c r="K12" s="4" t="inlineStr">
        <is>
          <t>+2'-0"</t>
        </is>
      </c>
      <c r="L12" s="4" t="inlineStr">
        <is>
          <t>Flat 9'-6"</t>
        </is>
      </c>
      <c r="M12" s="4" t="inlineStr"/>
    </row>
    <row r="13">
      <c r="A13" s="4" t="inlineStr">
        <is>
          <t>R12</t>
        </is>
      </c>
      <c r="B13" s="4" t="inlineStr">
        <is>
          <t>Store</t>
        </is>
      </c>
      <c r="C13" s="4" t="inlineStr">
        <is>
          <t>Service</t>
        </is>
      </c>
      <c r="D13" s="4" t="n">
        <v>6</v>
      </c>
      <c r="E13" s="4" t="n">
        <v>8</v>
      </c>
      <c r="F13" s="5">
        <f>D13*E13</f>
        <v/>
      </c>
      <c r="G13" s="5">
        <f>F13*0.092903</f>
        <v/>
      </c>
      <c r="H13" s="5" t="n">
        <v>5.5</v>
      </c>
      <c r="I13" s="5" t="n">
        <v>7.42</v>
      </c>
      <c r="J13" s="5">
        <f>H13*I13</f>
        <v/>
      </c>
      <c r="K13" s="4" t="inlineStr">
        <is>
          <t>+2'-0"</t>
        </is>
      </c>
      <c r="L13" s="4" t="inlineStr">
        <is>
          <t>Flat 9'-6"</t>
        </is>
      </c>
      <c r="M13" s="4" t="inlineStr"/>
    </row>
    <row r="14">
      <c r="A14" s="4" t="inlineStr">
        <is>
          <t>R13</t>
        </is>
      </c>
      <c r="B14" s="4" t="inlineStr">
        <is>
          <t>Wet area (semi-open)</t>
        </is>
      </c>
      <c r="C14" s="4" t="inlineStr">
        <is>
          <t>Service</t>
        </is>
      </c>
      <c r="D14" s="4" t="n">
        <v>8</v>
      </c>
      <c r="E14" s="4" t="n">
        <v>6</v>
      </c>
      <c r="F14" s="5">
        <f>D14*E14</f>
        <v/>
      </c>
      <c r="G14" s="5">
        <f>F14*0.092903</f>
        <v/>
      </c>
      <c r="H14" s="5" t="n">
        <v>7.58</v>
      </c>
      <c r="I14" s="5" t="n">
        <v>5.42</v>
      </c>
      <c r="J14" s="5">
        <f>H14*I14</f>
        <v/>
      </c>
      <c r="K14" s="4" t="inlineStr">
        <is>
          <t>+1'-9"</t>
        </is>
      </c>
      <c r="L14" s="4" t="inlineStr">
        <is>
          <t>Sloped (open truss)</t>
        </is>
      </c>
      <c r="M14" s="4" t="inlineStr">
        <is>
          <t>Semi-open, jali on south wall</t>
        </is>
      </c>
    </row>
    <row r="15">
      <c r="A15" s="4" t="inlineStr">
        <is>
          <t>R14</t>
        </is>
      </c>
      <c r="B15" s="4" t="inlineStr">
        <is>
          <t>Wash link</t>
        </is>
      </c>
      <c r="C15" s="4" t="inlineStr">
        <is>
          <t>Circulation</t>
        </is>
      </c>
      <c r="D15" s="4" t="n">
        <v>8</v>
      </c>
      <c r="E15" s="4" t="n">
        <v>4</v>
      </c>
      <c r="F15" s="5">
        <f>D15*E15</f>
        <v/>
      </c>
      <c r="G15" s="5">
        <f>F15*0.092903</f>
        <v/>
      </c>
      <c r="H15" s="5" t="n">
        <v>7.79</v>
      </c>
      <c r="I15" s="5" t="n">
        <v>3.58</v>
      </c>
      <c r="J15" s="5">
        <f>H15*I15</f>
        <v/>
      </c>
      <c r="K15" s="4" t="inlineStr">
        <is>
          <t>+2'-0"</t>
        </is>
      </c>
      <c r="L15" s="4" t="inlineStr">
        <is>
          <t>Sloped (open truss)</t>
        </is>
      </c>
      <c r="M15" s="4" t="inlineStr"/>
    </row>
    <row r="16">
      <c r="A16" s="4" t="inlineStr">
        <is>
          <t>R15</t>
        </is>
      </c>
      <c r="B16" s="4" t="inlineStr">
        <is>
          <t>Kitchen</t>
        </is>
      </c>
      <c r="C16" s="4" t="inlineStr">
        <is>
          <t>Service</t>
        </is>
      </c>
      <c r="D16" s="4" t="n">
        <v>10</v>
      </c>
      <c r="E16" s="4" t="n">
        <v>10</v>
      </c>
      <c r="F16" s="5">
        <f>D16*E16</f>
        <v/>
      </c>
      <c r="G16" s="5">
        <f>F16*0.092903</f>
        <v/>
      </c>
      <c r="H16" s="5" t="n">
        <v>9.41</v>
      </c>
      <c r="I16" s="5" t="n">
        <v>9.25</v>
      </c>
      <c r="J16" s="5">
        <f>H16*I16</f>
        <v/>
      </c>
      <c r="K16" s="4" t="inlineStr">
        <is>
          <t>+2'-0"</t>
        </is>
      </c>
      <c r="L16" s="4" t="inlineStr">
        <is>
          <t>Flat 9'-6"</t>
        </is>
      </c>
      <c r="M16" s="4" t="inlineStr"/>
    </row>
    <row r="17">
      <c r="A17" s="4" t="inlineStr">
        <is>
          <t>R16</t>
        </is>
      </c>
      <c r="B17" s="4" t="inlineStr">
        <is>
          <t>Living</t>
        </is>
      </c>
      <c r="C17" s="4" t="inlineStr">
        <is>
          <t>Living</t>
        </is>
      </c>
      <c r="D17" s="4" t="n">
        <v>12</v>
      </c>
      <c r="E17" s="4" t="n">
        <v>12</v>
      </c>
      <c r="F17" s="5">
        <f>D17*E17</f>
        <v/>
      </c>
      <c r="G17" s="5">
        <f>F17*0.092903</f>
        <v/>
      </c>
      <c r="H17" s="5" t="n">
        <v>11.41</v>
      </c>
      <c r="I17" s="5" t="n">
        <v>11.25</v>
      </c>
      <c r="J17" s="5">
        <f>H17*I17</f>
        <v/>
      </c>
      <c r="K17" s="4" t="inlineStr">
        <is>
          <t>+2'-0"</t>
        </is>
      </c>
      <c r="L17" s="4" t="inlineStr">
        <is>
          <t>Sloped (follows roof)</t>
        </is>
      </c>
      <c r="M17" s="4" t="inlineStr"/>
    </row>
    <row r="18">
      <c r="A18" s="4" t="inlineStr">
        <is>
          <t>R17</t>
        </is>
      </c>
      <c r="B18" s="4" t="inlineStr">
        <is>
          <t>Poomukham (verandah)</t>
        </is>
      </c>
      <c r="C18" s="4" t="inlineStr">
        <is>
          <t>Entry</t>
        </is>
      </c>
      <c r="D18" s="4" t="n">
        <v>6</v>
      </c>
      <c r="E18" s="4" t="n">
        <v>12</v>
      </c>
      <c r="F18" s="5">
        <f>D18*E18</f>
        <v/>
      </c>
      <c r="G18" s="5">
        <f>F18*0.092903</f>
        <v/>
      </c>
      <c r="H18" s="5" t="n">
        <v>5.62</v>
      </c>
      <c r="I18" s="5" t="n">
        <v>11.62</v>
      </c>
      <c r="J18" s="5">
        <f>H18*I18</f>
        <v/>
      </c>
      <c r="K18" s="4" t="inlineStr">
        <is>
          <t>+1'-6"</t>
        </is>
      </c>
      <c r="L18" s="4" t="inlineStr">
        <is>
          <t>Sloped (exposed rafters)</t>
        </is>
      </c>
      <c r="M18" s="4" t="inlineStr">
        <is>
          <t>Open verandah</t>
        </is>
      </c>
    </row>
    <row r="19">
      <c r="A19" s="6" t="inlineStr"/>
      <c r="B19" s="6" t="inlineStr">
        <is>
          <t>Total</t>
        </is>
      </c>
      <c r="C19" s="6" t="inlineStr"/>
      <c r="D19" s="6" t="inlineStr"/>
      <c r="E19" s="6" t="inlineStr"/>
      <c r="F19" s="7">
        <f>SUM(F2:F18)</f>
        <v/>
      </c>
      <c r="G19" s="7">
        <f>SUM(G2:G18)</f>
        <v/>
      </c>
      <c r="H19" s="7" t="inlineStr"/>
      <c r="I19" s="7" t="inlineStr"/>
      <c r="J19" s="7">
        <f>SUM(J2:J18)</f>
        <v/>
      </c>
      <c r="K19" s="6" t="inlineStr"/>
      <c r="L19" s="6" t="inlineStr"/>
      <c r="M19" s="6" t="inlineStr">
        <is>
          <t>Built footprint 55' x 22' = 1,210 sq ft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0" customWidth="1" min="3" max="3"/>
    <col width="10" customWidth="1" min="4" max="4"/>
    <col width="14" customWidth="1" min="5" max="5"/>
    <col width="40" customWidth="1" min="6" max="6"/>
    <col width="44" customWidth="1" min="7" max="7"/>
    <col width="26" customWidth="1" min="8" max="8"/>
    <col width="14" customWidth="1" min="9" max="9"/>
  </cols>
  <sheetData>
    <row r="1" ht="30" customHeight="1">
      <c r="A1" s="3" t="inlineStr">
        <is>
          <t>ID</t>
        </is>
      </c>
      <c r="B1" s="3" t="inlineStr">
        <is>
          <t>Location</t>
        </is>
      </c>
      <c r="C1" s="3" t="inlineStr">
        <is>
          <t>Width (ft)</t>
        </is>
      </c>
      <c r="D1" s="3" t="inlineStr">
        <is>
          <t>Height (ft)</t>
        </is>
      </c>
      <c r="E1" s="3" t="inlineStr">
        <is>
          <t>Operation</t>
        </is>
      </c>
      <c r="F1" s="3" t="inlineStr">
        <is>
          <t>Type / material</t>
        </is>
      </c>
      <c r="G1" s="3" t="inlineStr">
        <is>
          <t>Vent above (7'-6" to 9'-0")</t>
        </is>
      </c>
      <c r="H1" s="3" t="inlineStr">
        <is>
          <t>Chosen product</t>
        </is>
      </c>
      <c r="I1" s="3" t="inlineStr">
        <is>
          <t>Status</t>
        </is>
      </c>
    </row>
    <row r="2">
      <c r="A2" s="4" t="inlineStr">
        <is>
          <t>D01</t>
        </is>
      </c>
      <c r="B2" s="4" t="inlineStr">
        <is>
          <t>Main entrance</t>
        </is>
      </c>
      <c r="C2" s="4" t="n">
        <v>3</v>
      </c>
      <c r="D2" s="4" t="n">
        <v>7</v>
      </c>
      <c r="E2" s="4" t="inlineStr">
        <is>
          <t>Hinged, double</t>
        </is>
      </c>
      <c r="F2" s="4" t="inlineStr">
        <is>
          <t>Teak panelled, double leaf</t>
        </is>
      </c>
      <c r="G2" s="4" t="inlineStr">
        <is>
          <t>-</t>
        </is>
      </c>
      <c r="H2" s="8" t="inlineStr"/>
      <c r="I2" s="8" t="inlineStr"/>
    </row>
    <row r="3">
      <c r="A3" s="4" t="inlineStr">
        <is>
          <t>D02</t>
        </is>
      </c>
      <c r="B3" s="4" t="inlineStr">
        <is>
          <t>Service door, wet area</t>
        </is>
      </c>
      <c r="C3" s="4" t="n">
        <v>2</v>
      </c>
      <c r="D3" s="4" t="n">
        <v>7</v>
      </c>
      <c r="E3" s="4" t="inlineStr">
        <is>
          <t>Hinged, single</t>
        </is>
      </c>
      <c r="F3" s="4" t="inlineStr">
        <is>
          <t>Steel frame + grille, insect mesh</t>
        </is>
      </c>
      <c r="G3" s="4" t="inlineStr">
        <is>
          <t>-</t>
        </is>
      </c>
      <c r="H3" s="8" t="inlineStr"/>
      <c r="I3" s="8" t="inlineStr"/>
    </row>
    <row r="4">
      <c r="A4" s="4" t="inlineStr">
        <is>
          <t>D03</t>
        </is>
      </c>
      <c r="B4" s="4" t="inlineStr">
        <is>
          <t>Office 2 to master</t>
        </is>
      </c>
      <c r="C4" s="4" t="n">
        <v>6</v>
      </c>
      <c r="D4" s="4" t="n">
        <v>7</v>
      </c>
      <c r="E4" s="4" t="inlineStr">
        <is>
          <t>Sliding</t>
        </is>
      </c>
      <c r="F4" s="4" t="inlineStr">
        <is>
          <t>Sliding, laminated glass + brush seals</t>
        </is>
      </c>
      <c r="G4" s="4" t="inlineStr">
        <is>
          <t>Top-hung glazed vent with seals: open for air, closed for calls</t>
        </is>
      </c>
      <c r="H4" s="8" t="inlineStr"/>
      <c r="I4" s="8" t="inlineStr"/>
    </row>
    <row r="5">
      <c r="A5" s="4" t="inlineStr">
        <is>
          <t>D04</t>
        </is>
      </c>
      <c r="B5" s="4" t="inlineStr">
        <is>
          <t>Walk-in wardrobe</t>
        </is>
      </c>
      <c r="C5" s="4" t="n">
        <v>2.5</v>
      </c>
      <c r="D5" s="4" t="n">
        <v>7</v>
      </c>
      <c r="E5" s="4" t="inlineStr">
        <is>
          <t>Hinged, single</t>
        </is>
      </c>
      <c r="F5" s="4" t="inlineStr">
        <is>
          <t>Flush, teak veneer</t>
        </is>
      </c>
      <c r="G5" s="4" t="inlineStr">
        <is>
          <t>Teak jali vent in a frame: air passes freely (rooms with no sound-privacy need)</t>
        </is>
      </c>
      <c r="H5" s="8" t="inlineStr"/>
      <c r="I5" s="8" t="inlineStr"/>
    </row>
    <row r="6">
      <c r="A6" s="4" t="inlineStr">
        <is>
          <t>D05</t>
        </is>
      </c>
      <c r="B6" s="4" t="inlineStr">
        <is>
          <t>Ensuite</t>
        </is>
      </c>
      <c r="C6" s="4" t="n">
        <v>2.5</v>
      </c>
      <c r="D6" s="4" t="n">
        <v>7</v>
      </c>
      <c r="E6" s="4" t="inlineStr">
        <is>
          <t>Hinged, single</t>
        </is>
      </c>
      <c r="F6" s="4" t="inlineStr">
        <is>
          <t>Flush, waterproof (WPC/FRP)</t>
        </is>
      </c>
      <c r="G6" s="4" t="inlineStr">
        <is>
          <t>-</t>
        </is>
      </c>
      <c r="H6" s="8" t="inlineStr"/>
      <c r="I6" s="8" t="inlineStr"/>
    </row>
    <row r="7">
      <c r="A7" s="4" t="inlineStr">
        <is>
          <t>D06</t>
        </is>
      </c>
      <c r="B7" s="4" t="inlineStr">
        <is>
          <t>Master bedroom</t>
        </is>
      </c>
      <c r="C7" s="4" t="n">
        <v>3</v>
      </c>
      <c r="D7" s="4" t="n">
        <v>7</v>
      </c>
      <c r="E7" s="4" t="inlineStr">
        <is>
          <t>Hinged, single</t>
        </is>
      </c>
      <c r="F7" s="4" t="inlineStr">
        <is>
          <t>Flush, teak veneer</t>
        </is>
      </c>
      <c r="G7" s="4" t="inlineStr">
        <is>
          <t>-</t>
        </is>
      </c>
      <c r="H7" s="8" t="inlineStr"/>
      <c r="I7" s="8" t="inlineStr"/>
    </row>
    <row r="8">
      <c r="A8" s="4" t="inlineStr">
        <is>
          <t>D07</t>
        </is>
      </c>
      <c r="B8" s="4" t="inlineStr">
        <is>
          <t>Office 1</t>
        </is>
      </c>
      <c r="C8" s="4" t="n">
        <v>2.5</v>
      </c>
      <c r="D8" s="4" t="n">
        <v>7</v>
      </c>
      <c r="E8" s="4" t="inlineStr">
        <is>
          <t>Hinged, single</t>
        </is>
      </c>
      <c r="F8" s="4" t="inlineStr">
        <is>
          <t>Solid-core, acoustic seals</t>
        </is>
      </c>
      <c r="G8" s="4" t="inlineStr">
        <is>
          <t>Top-hung glazed vent with seals: open for air, closed for calls</t>
        </is>
      </c>
      <c r="H8" s="8" t="inlineStr"/>
      <c r="I8" s="8" t="inlineStr"/>
    </row>
    <row r="9">
      <c r="A9" s="4" t="inlineStr">
        <is>
          <t>D08</t>
        </is>
      </c>
      <c r="B9" s="4" t="inlineStr">
        <is>
          <t>Bath 2</t>
        </is>
      </c>
      <c r="C9" s="4" t="n">
        <v>2.5</v>
      </c>
      <c r="D9" s="4" t="n">
        <v>7</v>
      </c>
      <c r="E9" s="4" t="inlineStr">
        <is>
          <t>Hinged, single</t>
        </is>
      </c>
      <c r="F9" s="4" t="inlineStr">
        <is>
          <t>Flush, waterproof (WPC/FRP)</t>
        </is>
      </c>
      <c r="G9" s="4" t="inlineStr">
        <is>
          <t>-</t>
        </is>
      </c>
      <c r="H9" s="8" t="inlineStr"/>
      <c r="I9" s="8" t="inlineStr"/>
    </row>
    <row r="10">
      <c r="A10" s="4" t="inlineStr">
        <is>
          <t>D09</t>
        </is>
      </c>
      <c r="B10" s="4" t="inlineStr">
        <is>
          <t>Store</t>
        </is>
      </c>
      <c r="C10" s="4" t="n">
        <v>2.5</v>
      </c>
      <c r="D10" s="4" t="n">
        <v>7</v>
      </c>
      <c r="E10" s="4" t="inlineStr">
        <is>
          <t>Hinged, single</t>
        </is>
      </c>
      <c r="F10" s="4" t="inlineStr">
        <is>
          <t>Flush, teak veneer</t>
        </is>
      </c>
      <c r="G10" s="4" t="inlineStr">
        <is>
          <t>Teak jali vent in a frame: air passes freely (rooms with no sound-privacy need)</t>
        </is>
      </c>
      <c r="H10" s="8" t="inlineStr"/>
      <c r="I10" s="8" t="inlineStr"/>
    </row>
    <row r="11">
      <c r="A11" s="4" t="inlineStr">
        <is>
          <t>D10</t>
        </is>
      </c>
      <c r="B11" s="4" t="inlineStr">
        <is>
          <t>Bedroom 2</t>
        </is>
      </c>
      <c r="C11" s="4" t="n">
        <v>3</v>
      </c>
      <c r="D11" s="4" t="n">
        <v>7</v>
      </c>
      <c r="E11" s="4" t="inlineStr">
        <is>
          <t>Hinged, single</t>
        </is>
      </c>
      <c r="F11" s="4" t="inlineStr">
        <is>
          <t>Flush, teak veneer</t>
        </is>
      </c>
      <c r="G11" s="4" t="inlineStr">
        <is>
          <t>-</t>
        </is>
      </c>
      <c r="H11" s="8" t="inlineStr"/>
      <c r="I11" s="8" t="inlineStr"/>
    </row>
    <row r="12">
      <c r="A12" s="4" t="inlineStr">
        <is>
          <t>D11</t>
        </is>
      </c>
      <c r="B12" s="4" t="inlineStr">
        <is>
          <t>Pooja</t>
        </is>
      </c>
      <c r="C12" s="4" t="n">
        <v>2.5</v>
      </c>
      <c r="D12" s="4" t="n">
        <v>7</v>
      </c>
      <c r="E12" s="4" t="inlineStr">
        <is>
          <t>Hinged, double</t>
        </is>
      </c>
      <c r="F12" s="4" t="inlineStr">
        <is>
          <t>Carved teak, double leaf</t>
        </is>
      </c>
      <c r="G12" s="4" t="inlineStr">
        <is>
          <t>Teak jali vent in a frame: air passes freely (rooms with no sound-privacy need)</t>
        </is>
      </c>
      <c r="H12" s="8" t="inlineStr"/>
      <c r="I12" s="8" t="inlineStr"/>
    </row>
    <row r="13">
      <c r="A13" s="4" t="inlineStr">
        <is>
          <t>D12</t>
        </is>
      </c>
      <c r="B13" s="4" t="inlineStr">
        <is>
          <t>Kitchen to wet area</t>
        </is>
      </c>
      <c r="C13" s="4" t="n">
        <v>2.5</v>
      </c>
      <c r="D13" s="4" t="n">
        <v>7</v>
      </c>
      <c r="E13" s="4" t="inlineStr">
        <is>
          <t>Hinged, single</t>
        </is>
      </c>
      <c r="F13" s="4" t="inlineStr">
        <is>
          <t>Flush, waterproof (WPC/FRP)</t>
        </is>
      </c>
      <c r="G13" s="4" t="inlineStr">
        <is>
          <t>Fixed louvres angled down: air for the exhaust fan, no view in</t>
        </is>
      </c>
      <c r="H13" s="8" t="inlineStr"/>
      <c r="I13" s="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0" customWidth="1" min="3" max="3"/>
    <col width="10" customWidth="1" min="4" max="4"/>
    <col width="9" customWidth="1" min="5" max="5"/>
    <col width="9" customWidth="1" min="6" max="6"/>
    <col width="10" customWidth="1" min="7" max="7"/>
    <col width="52" customWidth="1" min="8" max="8"/>
    <col width="14" customWidth="1" min="9" max="9"/>
  </cols>
  <sheetData>
    <row r="1" ht="30" customHeight="1">
      <c r="A1" s="3" t="inlineStr">
        <is>
          <t>ID</t>
        </is>
      </c>
      <c r="B1" s="3" t="inlineStr">
        <is>
          <t>Room</t>
        </is>
      </c>
      <c r="C1" s="3" t="inlineStr">
        <is>
          <t>Wall faces</t>
        </is>
      </c>
      <c r="D1" s="3" t="inlineStr">
        <is>
          <t>Width (ft)</t>
        </is>
      </c>
      <c r="E1" s="3" t="inlineStr">
        <is>
          <t>Sill (ft)</t>
        </is>
      </c>
      <c r="F1" s="3" t="inlineStr">
        <is>
          <t>Head (ft)</t>
        </is>
      </c>
      <c r="G1" s="3" t="inlineStr">
        <is>
          <t>Height (ft)</t>
        </is>
      </c>
      <c r="H1" s="3" t="inlineStr">
        <is>
          <t>Type</t>
        </is>
      </c>
      <c r="I1" s="3" t="inlineStr">
        <is>
          <t>Status</t>
        </is>
      </c>
    </row>
    <row r="2">
      <c r="A2" s="4" t="inlineStr">
        <is>
          <t>W01</t>
        </is>
      </c>
      <c r="B2" s="4" t="inlineStr">
        <is>
          <t>Office 2</t>
        </is>
      </c>
      <c r="C2" s="4" t="inlineStr">
        <is>
          <t>South</t>
        </is>
      </c>
      <c r="D2" s="9" t="n">
        <v>5</v>
      </c>
      <c r="E2" s="9" t="n">
        <v>3</v>
      </c>
      <c r="F2" s="9" t="n">
        <v>7</v>
      </c>
      <c r="G2" s="9">
        <f>F2-E2</f>
        <v/>
      </c>
      <c r="H2" s="4" t="inlineStr">
        <is>
          <t>Timber jali + glazed shutters</t>
        </is>
      </c>
      <c r="I2" s="8" t="inlineStr"/>
    </row>
    <row r="3">
      <c r="A3" s="4" t="inlineStr">
        <is>
          <t>W02</t>
        </is>
      </c>
      <c r="B3" s="4" t="inlineStr">
        <is>
          <t>Walk-in wardrobe</t>
        </is>
      </c>
      <c r="C3" s="4" t="inlineStr">
        <is>
          <t>South</t>
        </is>
      </c>
      <c r="D3" s="9" t="n">
        <v>3</v>
      </c>
      <c r="E3" s="9" t="n">
        <v>5</v>
      </c>
      <c r="F3" s="9" t="n">
        <v>7</v>
      </c>
      <c r="G3" s="9">
        <f>F3-E3</f>
        <v/>
      </c>
      <c r="H3" s="4" t="inlineStr">
        <is>
          <t>High vent, jali</t>
        </is>
      </c>
      <c r="I3" s="8" t="inlineStr"/>
    </row>
    <row r="4">
      <c r="A4" s="4" t="inlineStr">
        <is>
          <t>W03</t>
        </is>
      </c>
      <c r="B4" s="4" t="inlineStr">
        <is>
          <t>Office 1</t>
        </is>
      </c>
      <c r="C4" s="4" t="inlineStr">
        <is>
          <t>South</t>
        </is>
      </c>
      <c r="D4" s="9" t="n">
        <v>5</v>
      </c>
      <c r="E4" s="9" t="n">
        <v>3</v>
      </c>
      <c r="F4" s="9" t="n">
        <v>7</v>
      </c>
      <c r="G4" s="9">
        <f>F4-E4</f>
        <v/>
      </c>
      <c r="H4" s="4" t="inlineStr">
        <is>
          <t>Timber jali + glazed shutters</t>
        </is>
      </c>
      <c r="I4" s="8" t="inlineStr"/>
    </row>
    <row r="5">
      <c r="A5" s="4" t="inlineStr">
        <is>
          <t>W04</t>
        </is>
      </c>
      <c r="B5" s="4" t="inlineStr">
        <is>
          <t>Bath 2</t>
        </is>
      </c>
      <c r="C5" s="4" t="inlineStr">
        <is>
          <t>South</t>
        </is>
      </c>
      <c r="D5" s="9" t="n">
        <v>2</v>
      </c>
      <c r="E5" s="9" t="n">
        <v>5</v>
      </c>
      <c r="F5" s="9" t="n">
        <v>7</v>
      </c>
      <c r="G5" s="9">
        <f>F5-E5</f>
        <v/>
      </c>
      <c r="H5" s="4" t="inlineStr">
        <is>
          <t>High vent, frosted louvres</t>
        </is>
      </c>
      <c r="I5" s="8" t="inlineStr"/>
    </row>
    <row r="6">
      <c r="A6" s="4" t="inlineStr">
        <is>
          <t>W05</t>
        </is>
      </c>
      <c r="B6" s="4" t="inlineStr">
        <is>
          <t>Store</t>
        </is>
      </c>
      <c r="C6" s="4" t="inlineStr">
        <is>
          <t>South</t>
        </is>
      </c>
      <c r="D6" s="9" t="n">
        <v>3</v>
      </c>
      <c r="E6" s="9" t="n">
        <v>5</v>
      </c>
      <c r="F6" s="9" t="n">
        <v>7</v>
      </c>
      <c r="G6" s="9">
        <f>F6-E6</f>
        <v/>
      </c>
      <c r="H6" s="4" t="inlineStr">
        <is>
          <t>High vent, jali + mesh</t>
        </is>
      </c>
      <c r="I6" s="8" t="inlineStr"/>
    </row>
    <row r="7">
      <c r="A7" s="4" t="inlineStr">
        <is>
          <t>W06</t>
        </is>
      </c>
      <c r="B7" s="4" t="inlineStr">
        <is>
          <t>Wet area</t>
        </is>
      </c>
      <c r="C7" s="4" t="inlineStr">
        <is>
          <t>South</t>
        </is>
      </c>
      <c r="D7" s="9" t="n">
        <v>5.1</v>
      </c>
      <c r="E7" s="9" t="n">
        <v>0.4</v>
      </c>
      <c r="F7" s="9" t="n">
        <v>8</v>
      </c>
      <c r="G7" s="9">
        <f>F7-E7</f>
        <v/>
      </c>
      <c r="H7" s="4" t="inlineStr">
        <is>
          <t>Terracotta jali wall + insect mesh + MS grille</t>
        </is>
      </c>
      <c r="I7" s="8" t="inlineStr"/>
    </row>
    <row r="8">
      <c r="A8" s="4" t="inlineStr">
        <is>
          <t>W07</t>
        </is>
      </c>
      <c r="B8" s="4" t="inlineStr">
        <is>
          <t>Kitchen</t>
        </is>
      </c>
      <c r="C8" s="4" t="inlineStr">
        <is>
          <t>South</t>
        </is>
      </c>
      <c r="D8" s="9" t="n">
        <v>5</v>
      </c>
      <c r="E8" s="9" t="n">
        <v>3.5</v>
      </c>
      <c r="F8" s="9" t="n">
        <v>7</v>
      </c>
      <c r="G8" s="9">
        <f>F8-E8</f>
        <v/>
      </c>
      <c r="H8" s="4" t="inlineStr">
        <is>
          <t>Timber jali + glazed shutters</t>
        </is>
      </c>
      <c r="I8" s="8" t="inlineStr"/>
    </row>
    <row r="9">
      <c r="A9" s="4" t="inlineStr">
        <is>
          <t>W08</t>
        </is>
      </c>
      <c r="B9" s="4" t="inlineStr">
        <is>
          <t>Kitchen</t>
        </is>
      </c>
      <c r="C9" s="4" t="inlineStr">
        <is>
          <t>East</t>
        </is>
      </c>
      <c r="D9" s="9" t="n">
        <v>6</v>
      </c>
      <c r="E9" s="9" t="n">
        <v>3.5</v>
      </c>
      <c r="F9" s="9" t="n">
        <v>7</v>
      </c>
      <c r="G9" s="9">
        <f>F9-E9</f>
        <v/>
      </c>
      <c r="H9" s="4" t="inlineStr">
        <is>
          <t>Timber jali + glazed shutters</t>
        </is>
      </c>
      <c r="I9" s="8" t="inlineStr"/>
    </row>
    <row r="10">
      <c r="A10" s="4" t="inlineStr">
        <is>
          <t>W09</t>
        </is>
      </c>
      <c r="B10" s="4" t="inlineStr">
        <is>
          <t>Ensuite</t>
        </is>
      </c>
      <c r="C10" s="4" t="inlineStr">
        <is>
          <t>North</t>
        </is>
      </c>
      <c r="D10" s="9" t="n">
        <v>3</v>
      </c>
      <c r="E10" s="9" t="n">
        <v>5</v>
      </c>
      <c r="F10" s="9" t="n">
        <v>7</v>
      </c>
      <c r="G10" s="9">
        <f>F10-E10</f>
        <v/>
      </c>
      <c r="H10" s="4" t="inlineStr">
        <is>
          <t>Frosted casement</t>
        </is>
      </c>
      <c r="I10" s="8" t="inlineStr"/>
    </row>
    <row r="11">
      <c r="A11" s="4" t="inlineStr">
        <is>
          <t>W10</t>
        </is>
      </c>
      <c r="B11" s="4" t="inlineStr">
        <is>
          <t>Ensuite</t>
        </is>
      </c>
      <c r="C11" s="4" t="inlineStr">
        <is>
          <t>West</t>
        </is>
      </c>
      <c r="D11" s="9" t="n">
        <v>4</v>
      </c>
      <c r="E11" s="9" t="n">
        <v>5</v>
      </c>
      <c r="F11" s="9" t="n">
        <v>7</v>
      </c>
      <c r="G11" s="9">
        <f>F11-E11</f>
        <v/>
      </c>
      <c r="H11" s="4" t="inlineStr">
        <is>
          <t>High jali vent</t>
        </is>
      </c>
      <c r="I11" s="8" t="inlineStr"/>
    </row>
    <row r="12">
      <c r="A12" s="4" t="inlineStr">
        <is>
          <t>W11</t>
        </is>
      </c>
      <c r="B12" s="4" t="inlineStr">
        <is>
          <t>Master bedroom</t>
        </is>
      </c>
      <c r="C12" s="4" t="inlineStr">
        <is>
          <t>North</t>
        </is>
      </c>
      <c r="D12" s="9" t="n">
        <v>6</v>
      </c>
      <c r="E12" s="9" t="n">
        <v>3</v>
      </c>
      <c r="F12" s="9" t="n">
        <v>7</v>
      </c>
      <c r="G12" s="9">
        <f>F12-E12</f>
        <v/>
      </c>
      <c r="H12" s="4" t="inlineStr">
        <is>
          <t>Teak casement, glazed</t>
        </is>
      </c>
      <c r="I12" s="8" t="inlineStr"/>
    </row>
    <row r="13">
      <c r="A13" s="4" t="inlineStr">
        <is>
          <t>W12</t>
        </is>
      </c>
      <c r="B13" s="4" t="inlineStr">
        <is>
          <t>Bedroom 2</t>
        </is>
      </c>
      <c r="C13" s="4" t="inlineStr">
        <is>
          <t>North</t>
        </is>
      </c>
      <c r="D13" s="9" t="n">
        <v>6</v>
      </c>
      <c r="E13" s="9" t="n">
        <v>3</v>
      </c>
      <c r="F13" s="9" t="n">
        <v>7</v>
      </c>
      <c r="G13" s="9">
        <f>F13-E13</f>
        <v/>
      </c>
      <c r="H13" s="4" t="inlineStr">
        <is>
          <t>Teak casement, glazed</t>
        </is>
      </c>
      <c r="I13" s="8" t="inlineStr"/>
    </row>
    <row r="14">
      <c r="A14" s="4" t="inlineStr">
        <is>
          <t>W13</t>
        </is>
      </c>
      <c r="B14" s="4" t="inlineStr">
        <is>
          <t>Pooja</t>
        </is>
      </c>
      <c r="C14" s="4" t="inlineStr">
        <is>
          <t>North</t>
        </is>
      </c>
      <c r="D14" s="9" t="n">
        <v>3</v>
      </c>
      <c r="E14" s="9" t="n">
        <v>4</v>
      </c>
      <c r="F14" s="9" t="n">
        <v>7</v>
      </c>
      <c r="G14" s="9">
        <f>F14-E14</f>
        <v/>
      </c>
      <c r="H14" s="4" t="inlineStr">
        <is>
          <t>Teak casement, glazed</t>
        </is>
      </c>
      <c r="I14" s="8" t="inlineStr"/>
    </row>
    <row r="15">
      <c r="A15" s="4" t="inlineStr">
        <is>
          <t>W14</t>
        </is>
      </c>
      <c r="B15" s="4" t="inlineStr">
        <is>
          <t>Living</t>
        </is>
      </c>
      <c r="C15" s="4" t="inlineStr">
        <is>
          <t>North</t>
        </is>
      </c>
      <c r="D15" s="9" t="n">
        <v>8</v>
      </c>
      <c r="E15" s="9" t="n">
        <v>2</v>
      </c>
      <c r="F15" s="9" t="n">
        <v>8</v>
      </c>
      <c r="G15" s="9">
        <f>F15-E15</f>
        <v/>
      </c>
      <c r="H15" s="4" t="inlineStr">
        <is>
          <t>Teak casement, tall, glazed</t>
        </is>
      </c>
      <c r="I15" s="8" t="inlineStr"/>
    </row>
    <row r="16">
      <c r="A16" s="4" t="inlineStr">
        <is>
          <t>W15</t>
        </is>
      </c>
      <c r="B16" s="4" t="inlineStr">
        <is>
          <t>Living</t>
        </is>
      </c>
      <c r="C16" s="4" t="inlineStr">
        <is>
          <t>East (to verandah)</t>
        </is>
      </c>
      <c r="D16" s="9" t="n">
        <v>4</v>
      </c>
      <c r="E16" s="9" t="n">
        <v>3</v>
      </c>
      <c r="F16" s="9" t="n">
        <v>7</v>
      </c>
      <c r="G16" s="9">
        <f>F16-E16</f>
        <v/>
      </c>
      <c r="H16" s="4" t="inlineStr">
        <is>
          <t>Teak casement onto poomukham (morning light)</t>
        </is>
      </c>
      <c r="I16" s="8" t="inlineStr"/>
    </row>
    <row r="17">
      <c r="A17" s="4" t="inlineStr">
        <is>
          <t>SK1</t>
        </is>
      </c>
      <c r="B17" s="4" t="inlineStr">
        <is>
          <t>Roof</t>
        </is>
      </c>
      <c r="C17" s="4" t="inlineStr">
        <is>
          <t>Up</t>
        </is>
      </c>
      <c r="D17" s="9" t="inlineStr"/>
      <c r="E17" s="9" t="inlineStr"/>
      <c r="F17" s="9" t="inlineStr"/>
      <c r="G17" s="9" t="inlineStr"/>
      <c r="H17" s="4" t="inlineStr">
        <is>
          <t>Ventilator over dining, 5 x 5 ft, no glass: hipped tiled cap at 30 deg with 1'-6" overhang; 2 ft band of 45 deg louvres on all four sides; SS insect mesh behind; sealed inner shutters on a winding opener; 9 in upstand; lined shaft to the dining ceiling (see A-503)</t>
        </is>
      </c>
      <c r="I17" s="8" t="inlineStr"/>
    </row>
    <row r="18">
      <c r="A18" s="4" t="inlineStr">
        <is>
          <t>GV1-3</t>
        </is>
      </c>
      <c r="B18" s="4" t="inlineStr">
        <is>
          <t>Roof</t>
        </is>
      </c>
      <c r="C18" s="4" t="inlineStr">
        <is>
          <t>Up</t>
        </is>
      </c>
      <c r="D18" s="9" t="inlineStr"/>
      <c r="E18" s="9" t="inlineStr"/>
      <c r="F18" s="9" t="inlineStr"/>
      <c r="G18" s="9" t="inlineStr"/>
      <c r="H18" s="4" t="inlineStr">
        <is>
          <t>Three glazed/jali vents in front gable (mukhappu), morning light into living</t>
        </is>
      </c>
      <c r="I18" s="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18" customWidth="1" min="4" max="4"/>
    <col width="9" customWidth="1" min="5" max="5"/>
    <col width="9" customWidth="1" min="6" max="6"/>
    <col width="6" customWidth="1" min="7" max="7"/>
    <col width="34" customWidth="1" min="8" max="8"/>
    <col width="14" customWidth="1" min="9" max="9"/>
    <col width="14" customWidth="1" min="10" max="10"/>
    <col width="26" customWidth="1" min="11" max="11"/>
    <col width="12" customWidth="1" min="12" max="12"/>
  </cols>
  <sheetData>
    <row r="1" ht="30" customHeight="1">
      <c r="A1" s="3" t="inlineStr">
        <is>
          <t>ID</t>
        </is>
      </c>
      <c r="B1" s="3" t="inlineStr">
        <is>
          <t>Room</t>
        </is>
      </c>
      <c r="C1" s="3" t="inlineStr">
        <is>
          <t>Item</t>
        </is>
      </c>
      <c r="D1" s="3" t="inlineStr">
        <is>
          <t>Category</t>
        </is>
      </c>
      <c r="E1" s="3" t="inlineStr">
        <is>
          <t>E-W (ft)</t>
        </is>
      </c>
      <c r="F1" s="3" t="inlineStr">
        <is>
          <t>N-S (ft)</t>
        </is>
      </c>
      <c r="G1" s="3" t="inlineStr">
        <is>
          <t>Qty</t>
        </is>
      </c>
      <c r="H1" s="3" t="inlineStr">
        <is>
          <t>Material / spec</t>
        </is>
      </c>
      <c r="I1" s="3" t="inlineStr">
        <is>
          <t>Est. unit cost (Rs)</t>
        </is>
      </c>
      <c r="J1" s="3" t="inlineStr">
        <is>
          <t>Line total (Rs)</t>
        </is>
      </c>
      <c r="K1" s="3" t="inlineStr">
        <is>
          <t>Chosen product / vendor</t>
        </is>
      </c>
      <c r="L1" s="3" t="inlineStr">
        <is>
          <t>Status</t>
        </is>
      </c>
    </row>
    <row r="2">
      <c r="A2" s="4" t="inlineStr">
        <is>
          <t>F01</t>
        </is>
      </c>
      <c r="B2" s="4" t="inlineStr">
        <is>
          <t>Office 2</t>
        </is>
      </c>
      <c r="C2" s="4" t="inlineStr">
        <is>
          <t>Work desk 5'6" x 2'</t>
        </is>
      </c>
      <c r="D2" s="4" t="inlineStr">
        <is>
          <t>Loose furniture</t>
        </is>
      </c>
      <c r="E2" s="4" t="n">
        <v>1.9</v>
      </c>
      <c r="F2" s="4" t="n">
        <v>5.5</v>
      </c>
      <c r="G2" s="4" t="n">
        <v>1</v>
      </c>
      <c r="H2" s="4" t="inlineStr">
        <is>
          <t>Teak or ply + veneer, cable tray</t>
        </is>
      </c>
      <c r="I2" s="10" t="n"/>
      <c r="J2" s="11">
        <f>G2*I2</f>
        <v/>
      </c>
      <c r="K2" s="8" t="inlineStr"/>
      <c r="L2" s="8" t="inlineStr"/>
    </row>
    <row r="3">
      <c r="A3" s="4" t="inlineStr">
        <is>
          <t>F02</t>
        </is>
      </c>
      <c r="B3" s="4" t="inlineStr">
        <is>
          <t>Office 2</t>
        </is>
      </c>
      <c r="C3" s="4" t="inlineStr">
        <is>
          <t>Ergonomic task chair</t>
        </is>
      </c>
      <c r="D3" s="4" t="inlineStr">
        <is>
          <t>Loose furniture</t>
        </is>
      </c>
      <c r="E3" s="4" t="n">
        <v>1.2</v>
      </c>
      <c r="F3" s="4" t="n">
        <v>1.2</v>
      </c>
      <c r="G3" s="4" t="n">
        <v>1</v>
      </c>
      <c r="H3" s="4" t="inlineStr">
        <is>
          <t>Mesh back</t>
        </is>
      </c>
      <c r="I3" s="10" t="n"/>
      <c r="J3" s="11">
        <f>G3*I3</f>
        <v/>
      </c>
      <c r="K3" s="8" t="inlineStr"/>
      <c r="L3" s="8" t="inlineStr"/>
    </row>
    <row r="4">
      <c r="A4" s="4" t="inlineStr">
        <is>
          <t>F03</t>
        </is>
      </c>
      <c r="B4" s="4" t="inlineStr">
        <is>
          <t>Office 2</t>
        </is>
      </c>
      <c r="C4" s="4" t="inlineStr">
        <is>
          <t>Bookshelf, full height (video backdrop)</t>
        </is>
      </c>
      <c r="D4" s="4" t="inlineStr">
        <is>
          <t>Built-in joinery</t>
        </is>
      </c>
      <c r="E4" s="4" t="n">
        <v>1.2</v>
      </c>
      <c r="F4" s="4" t="n">
        <v>7</v>
      </c>
      <c r="G4" s="4" t="n">
        <v>1</v>
      </c>
      <c r="H4" s="4" t="inlineStr">
        <is>
          <t>Teak / ply, open shelves</t>
        </is>
      </c>
      <c r="I4" s="10" t="n"/>
      <c r="J4" s="11">
        <f>G4*I4</f>
        <v/>
      </c>
      <c r="K4" s="8" t="inlineStr"/>
      <c r="L4" s="8" t="inlineStr"/>
    </row>
    <row r="5">
      <c r="A5" s="4" t="inlineStr">
        <is>
          <t>F04</t>
        </is>
      </c>
      <c r="B5" s="4" t="inlineStr">
        <is>
          <t>Walk-in wardrobe</t>
        </is>
      </c>
      <c r="C5" s="4" t="inlineStr">
        <is>
          <t>Wardrobe run, south wall</t>
        </is>
      </c>
      <c r="D5" s="4" t="inlineStr">
        <is>
          <t>Built-in joinery</t>
        </is>
      </c>
      <c r="E5" s="4" t="n">
        <v>6.4</v>
      </c>
      <c r="F5" s="4" t="n">
        <v>2</v>
      </c>
      <c r="G5" s="4" t="n">
        <v>1</v>
      </c>
      <c r="H5" s="4" t="inlineStr">
        <is>
          <t>Ply + laminate, 2 ft deep</t>
        </is>
      </c>
      <c r="I5" s="10" t="n"/>
      <c r="J5" s="11">
        <f>G5*I5</f>
        <v/>
      </c>
      <c r="K5" s="8" t="inlineStr"/>
      <c r="L5" s="8" t="inlineStr"/>
    </row>
    <row r="6">
      <c r="A6" s="4" t="inlineStr">
        <is>
          <t>F05</t>
        </is>
      </c>
      <c r="B6" s="4" t="inlineStr">
        <is>
          <t>Walk-in wardrobe</t>
        </is>
      </c>
      <c r="C6" s="4" t="inlineStr">
        <is>
          <t>Wardrobe run, east wall</t>
        </is>
      </c>
      <c r="D6" s="4" t="inlineStr">
        <is>
          <t>Built-in joinery</t>
        </is>
      </c>
      <c r="E6" s="4" t="n">
        <v>1.7</v>
      </c>
      <c r="F6" s="4" t="n">
        <v>5.2</v>
      </c>
      <c r="G6" s="4" t="n">
        <v>1</v>
      </c>
      <c r="H6" s="4" t="inlineStr">
        <is>
          <t>Ply + laminate</t>
        </is>
      </c>
      <c r="I6" s="10" t="n"/>
      <c r="J6" s="11">
        <f>G6*I6</f>
        <v/>
      </c>
      <c r="K6" s="8" t="inlineStr"/>
      <c r="L6" s="8" t="inlineStr"/>
    </row>
    <row r="7">
      <c r="A7" s="4" t="inlineStr">
        <is>
          <t>F06</t>
        </is>
      </c>
      <c r="B7" s="4" t="inlineStr">
        <is>
          <t>Dressing alcove</t>
        </is>
      </c>
      <c r="C7" s="4" t="inlineStr">
        <is>
          <t>Dresser with mirror</t>
        </is>
      </c>
      <c r="D7" s="4" t="inlineStr">
        <is>
          <t>Loose furniture</t>
        </is>
      </c>
      <c r="E7" s="4" t="n">
        <v>1.5</v>
      </c>
      <c r="F7" s="4" t="n">
        <v>4</v>
      </c>
      <c r="G7" s="4" t="n">
        <v>1</v>
      </c>
      <c r="H7" s="4" t="inlineStr">
        <is>
          <t>Teak</t>
        </is>
      </c>
      <c r="I7" s="10" t="n"/>
      <c r="J7" s="11">
        <f>G7*I7</f>
        <v/>
      </c>
      <c r="K7" s="8" t="inlineStr"/>
      <c r="L7" s="8" t="inlineStr"/>
    </row>
    <row r="8">
      <c r="A8" s="4" t="inlineStr">
        <is>
          <t>F07</t>
        </is>
      </c>
      <c r="B8" s="4" t="inlineStr">
        <is>
          <t>Ensuite</t>
        </is>
      </c>
      <c r="C8" s="4" t="inlineStr">
        <is>
          <t>Vanity basin counter 3'-6"</t>
        </is>
      </c>
      <c r="D8" s="4" t="inlineStr">
        <is>
          <t>Sanitary / plumbing</t>
        </is>
      </c>
      <c r="E8" s="4" t="n">
        <v>3.5</v>
      </c>
      <c r="F8" s="4" t="n">
        <v>1.5</v>
      </c>
      <c r="G8" s="4" t="n">
        <v>1</v>
      </c>
      <c r="H8" s="4" t="inlineStr">
        <is>
          <t>Granite top, wall-hung</t>
        </is>
      </c>
      <c r="I8" s="10" t="n"/>
      <c r="J8" s="11">
        <f>G8*I8</f>
        <v/>
      </c>
      <c r="K8" s="8" t="inlineStr"/>
      <c r="L8" s="8" t="inlineStr"/>
    </row>
    <row r="9">
      <c r="A9" s="4" t="inlineStr">
        <is>
          <t>F08</t>
        </is>
      </c>
      <c r="B9" s="4" t="inlineStr">
        <is>
          <t>Ensuite</t>
        </is>
      </c>
      <c r="C9" s="4" t="inlineStr">
        <is>
          <t>WC (EWC)</t>
        </is>
      </c>
      <c r="D9" s="4" t="inlineStr">
        <is>
          <t>Sanitary / plumbing</t>
        </is>
      </c>
      <c r="E9" s="4" t="n">
        <v>1.8</v>
      </c>
      <c r="F9" s="4" t="n">
        <v>1.2</v>
      </c>
      <c r="G9" s="4" t="n">
        <v>1</v>
      </c>
      <c r="H9" s="4" t="inlineStr">
        <is>
          <t>Wall-hung, concealed cistern</t>
        </is>
      </c>
      <c r="I9" s="10" t="n"/>
      <c r="J9" s="11">
        <f>G9*I9</f>
        <v/>
      </c>
      <c r="K9" s="8" t="inlineStr"/>
      <c r="L9" s="8" t="inlineStr"/>
    </row>
    <row r="10">
      <c r="A10" s="4" t="inlineStr">
        <is>
          <t>F09</t>
        </is>
      </c>
      <c r="B10" s="4" t="inlineStr">
        <is>
          <t>Ensuite</t>
        </is>
      </c>
      <c r="C10" s="4" t="inlineStr">
        <is>
          <t>Shower glass partition</t>
        </is>
      </c>
      <c r="D10" s="4" t="inlineStr">
        <is>
          <t>Sanitary / plumbing</t>
        </is>
      </c>
      <c r="E10" s="4" t="n">
        <v>3.7</v>
      </c>
      <c r="F10" s="4" t="n">
        <v>0.2</v>
      </c>
      <c r="G10" s="4" t="n">
        <v>1</v>
      </c>
      <c r="H10" s="4" t="inlineStr">
        <is>
          <t>8 mm toughened glass</t>
        </is>
      </c>
      <c r="I10" s="10" t="n"/>
      <c r="J10" s="11">
        <f>G10*I10</f>
        <v/>
      </c>
      <c r="K10" s="8" t="inlineStr"/>
      <c r="L10" s="8" t="inlineStr"/>
    </row>
    <row r="11">
      <c r="A11" s="4" t="inlineStr">
        <is>
          <t>F10</t>
        </is>
      </c>
      <c r="B11" s="4" t="inlineStr">
        <is>
          <t>Master bedroom</t>
        </is>
      </c>
      <c r="C11" s="4" t="inlineStr">
        <is>
          <t>Queen bed 5' x 6'6" + headboard</t>
        </is>
      </c>
      <c r="D11" s="4" t="inlineStr">
        <is>
          <t>Loose furniture</t>
        </is>
      </c>
      <c r="E11" s="4" t="n">
        <v>6.4</v>
      </c>
      <c r="F11" s="4" t="n">
        <v>5</v>
      </c>
      <c r="G11" s="4" t="n">
        <v>1</v>
      </c>
      <c r="H11" s="4" t="inlineStr">
        <is>
          <t>Teak, head to east</t>
        </is>
      </c>
      <c r="I11" s="10" t="n"/>
      <c r="J11" s="11">
        <f>G11*I11</f>
        <v/>
      </c>
      <c r="K11" s="8" t="inlineStr"/>
      <c r="L11" s="8" t="inlineStr"/>
    </row>
    <row r="12">
      <c r="A12" s="4" t="inlineStr">
        <is>
          <t>F11</t>
        </is>
      </c>
      <c r="B12" s="4" t="inlineStr">
        <is>
          <t>Master bedroom</t>
        </is>
      </c>
      <c r="C12" s="4" t="inlineStr">
        <is>
          <t>Bedside table</t>
        </is>
      </c>
      <c r="D12" s="4" t="inlineStr">
        <is>
          <t>Loose furniture</t>
        </is>
      </c>
      <c r="E12" s="4" t="n">
        <v>1</v>
      </c>
      <c r="F12" s="4" t="n">
        <v>1.1</v>
      </c>
      <c r="G12" s="4" t="n">
        <v>2</v>
      </c>
      <c r="H12" s="4" t="inlineStr">
        <is>
          <t>Teak</t>
        </is>
      </c>
      <c r="I12" s="10" t="n"/>
      <c r="J12" s="11">
        <f>G12*I12</f>
        <v/>
      </c>
      <c r="K12" s="8" t="inlineStr"/>
      <c r="L12" s="8" t="inlineStr"/>
    </row>
    <row r="13">
      <c r="A13" s="4" t="inlineStr">
        <is>
          <t>F12</t>
        </is>
      </c>
      <c r="B13" s="4" t="inlineStr">
        <is>
          <t>Master bedroom</t>
        </is>
      </c>
      <c r="C13" s="4" t="inlineStr">
        <is>
          <t>Reading chair</t>
        </is>
      </c>
      <c r="D13" s="4" t="inlineStr">
        <is>
          <t>Loose furniture</t>
        </is>
      </c>
      <c r="E13" s="4" t="n">
        <v>1.4</v>
      </c>
      <c r="F13" s="4" t="n">
        <v>1.4</v>
      </c>
      <c r="G13" s="4" t="n">
        <v>1</v>
      </c>
      <c r="H13" s="4" t="inlineStr">
        <is>
          <t>Cane / upholstered</t>
        </is>
      </c>
      <c r="I13" s="10" t="n"/>
      <c r="J13" s="11">
        <f>G13*I13</f>
        <v/>
      </c>
      <c r="K13" s="8" t="inlineStr"/>
      <c r="L13" s="8" t="inlineStr"/>
    </row>
    <row r="14">
      <c r="A14" s="4" t="inlineStr">
        <is>
          <t>F13</t>
        </is>
      </c>
      <c r="B14" s="4" t="inlineStr">
        <is>
          <t>Office 1</t>
        </is>
      </c>
      <c r="C14" s="4" t="inlineStr">
        <is>
          <t>Work desk 5'6" x 2'</t>
        </is>
      </c>
      <c r="D14" s="4" t="inlineStr">
        <is>
          <t>Loose furniture</t>
        </is>
      </c>
      <c r="E14" s="4" t="n">
        <v>1.9</v>
      </c>
      <c r="F14" s="4" t="n">
        <v>5.5</v>
      </c>
      <c r="G14" s="4" t="n">
        <v>1</v>
      </c>
      <c r="H14" s="4" t="inlineStr">
        <is>
          <t>Teak or ply + veneer, cable tray</t>
        </is>
      </c>
      <c r="I14" s="10" t="n"/>
      <c r="J14" s="11">
        <f>G14*I14</f>
        <v/>
      </c>
      <c r="K14" s="8" t="inlineStr"/>
      <c r="L14" s="8" t="inlineStr"/>
    </row>
    <row r="15">
      <c r="A15" s="4" t="inlineStr">
        <is>
          <t>F14</t>
        </is>
      </c>
      <c r="B15" s="4" t="inlineStr">
        <is>
          <t>Office 1</t>
        </is>
      </c>
      <c r="C15" s="4" t="inlineStr">
        <is>
          <t>Ergonomic task chair</t>
        </is>
      </c>
      <c r="D15" s="4" t="inlineStr">
        <is>
          <t>Loose furniture</t>
        </is>
      </c>
      <c r="E15" s="4" t="n">
        <v>1.2</v>
      </c>
      <c r="F15" s="4" t="n">
        <v>1.2</v>
      </c>
      <c r="G15" s="4" t="n">
        <v>1</v>
      </c>
      <c r="H15" s="4" t="inlineStr">
        <is>
          <t>Mesh back</t>
        </is>
      </c>
      <c r="I15" s="10" t="n"/>
      <c r="J15" s="11">
        <f>G15*I15</f>
        <v/>
      </c>
      <c r="K15" s="8" t="inlineStr"/>
      <c r="L15" s="8" t="inlineStr"/>
    </row>
    <row r="16">
      <c r="A16" s="4" t="inlineStr">
        <is>
          <t>F15</t>
        </is>
      </c>
      <c r="B16" s="4" t="inlineStr">
        <is>
          <t>Office 1</t>
        </is>
      </c>
      <c r="C16" s="4" t="inlineStr">
        <is>
          <t>Bookshelf (video backdrop)</t>
        </is>
      </c>
      <c r="D16" s="4" t="inlineStr">
        <is>
          <t>Built-in joinery</t>
        </is>
      </c>
      <c r="E16" s="4" t="n">
        <v>1</v>
      </c>
      <c r="F16" s="4" t="n">
        <v>6</v>
      </c>
      <c r="G16" s="4" t="n">
        <v>1</v>
      </c>
      <c r="H16" s="4" t="inlineStr">
        <is>
          <t>Teak / ply</t>
        </is>
      </c>
      <c r="I16" s="10" t="n"/>
      <c r="J16" s="11">
        <f>G16*I16</f>
        <v/>
      </c>
      <c r="K16" s="8" t="inlineStr"/>
      <c r="L16" s="8" t="inlineStr"/>
    </row>
    <row r="17">
      <c r="A17" s="4" t="inlineStr">
        <is>
          <t>F16</t>
        </is>
      </c>
      <c r="B17" s="4" t="inlineStr">
        <is>
          <t>Bath 2</t>
        </is>
      </c>
      <c r="C17" s="4" t="inlineStr">
        <is>
          <t>WC (EWC)</t>
        </is>
      </c>
      <c r="D17" s="4" t="inlineStr">
        <is>
          <t>Sanitary / plumbing</t>
        </is>
      </c>
      <c r="E17" s="4" t="n">
        <v>1.4</v>
      </c>
      <c r="F17" s="4" t="n">
        <v>1.2</v>
      </c>
      <c r="G17" s="4" t="n">
        <v>1</v>
      </c>
      <c r="H17" s="4" t="inlineStr">
        <is>
          <t>Wall-hung, concealed cistern</t>
        </is>
      </c>
      <c r="I17" s="10" t="n"/>
      <c r="J17" s="11">
        <f>G17*I17</f>
        <v/>
      </c>
      <c r="K17" s="8" t="inlineStr"/>
      <c r="L17" s="8" t="inlineStr"/>
    </row>
    <row r="18">
      <c r="A18" s="4" t="inlineStr">
        <is>
          <t>F17</t>
        </is>
      </c>
      <c r="B18" s="4" t="inlineStr">
        <is>
          <t>Bath 2</t>
        </is>
      </c>
      <c r="C18" s="4" t="inlineStr">
        <is>
          <t>Wash basin</t>
        </is>
      </c>
      <c r="D18" s="4" t="inlineStr">
        <is>
          <t>Sanitary / plumbing</t>
        </is>
      </c>
      <c r="E18" s="4" t="n">
        <v>2</v>
      </c>
      <c r="F18" s="4" t="n">
        <v>0.7</v>
      </c>
      <c r="G18" s="4" t="n">
        <v>1</v>
      </c>
      <c r="H18" s="4" t="inlineStr">
        <is>
          <t>Wall-hung</t>
        </is>
      </c>
      <c r="I18" s="10" t="n"/>
      <c r="J18" s="11">
        <f>G18*I18</f>
        <v/>
      </c>
      <c r="K18" s="8" t="inlineStr"/>
      <c r="L18" s="8" t="inlineStr"/>
    </row>
    <row r="19">
      <c r="A19" s="4" t="inlineStr">
        <is>
          <t>F18</t>
        </is>
      </c>
      <c r="B19" s="4" t="inlineStr">
        <is>
          <t>Bath 2</t>
        </is>
      </c>
      <c r="C19" s="4" t="inlineStr">
        <is>
          <t>Shower glass partition</t>
        </is>
      </c>
      <c r="D19" s="4" t="inlineStr">
        <is>
          <t>Sanitary / plumbing</t>
        </is>
      </c>
      <c r="E19" s="4" t="n">
        <v>2.7</v>
      </c>
      <c r="F19" s="4" t="n">
        <v>0.2</v>
      </c>
      <c r="G19" s="4" t="n">
        <v>1</v>
      </c>
      <c r="H19" s="4" t="inlineStr">
        <is>
          <t>8 mm toughened glass</t>
        </is>
      </c>
      <c r="I19" s="10" t="n"/>
      <c r="J19" s="11">
        <f>G19*I19</f>
        <v/>
      </c>
      <c r="K19" s="8" t="inlineStr"/>
      <c r="L19" s="8" t="inlineStr"/>
    </row>
    <row r="20">
      <c r="A20" s="4" t="inlineStr">
        <is>
          <t>F19</t>
        </is>
      </c>
      <c r="B20" s="4" t="inlineStr">
        <is>
          <t>Bath 2</t>
        </is>
      </c>
      <c r="C20" s="4" t="inlineStr">
        <is>
          <t>Linen cupboard (acoustic buffer)</t>
        </is>
      </c>
      <c r="D20" s="4" t="inlineStr">
        <is>
          <t>Built-in joinery</t>
        </is>
      </c>
      <c r="E20" s="4" t="n">
        <v>2.2</v>
      </c>
      <c r="F20" s="4" t="n">
        <v>1.7</v>
      </c>
      <c r="G20" s="4" t="n">
        <v>1</v>
      </c>
      <c r="H20" s="4" t="inlineStr">
        <is>
          <t>Ply + laminate</t>
        </is>
      </c>
      <c r="I20" s="10" t="n"/>
      <c r="J20" s="11">
        <f>G20*I20</f>
        <v/>
      </c>
      <c r="K20" s="8" t="inlineStr"/>
      <c r="L20" s="8" t="inlineStr"/>
    </row>
    <row r="21">
      <c r="A21" s="4" t="inlineStr">
        <is>
          <t>F20</t>
        </is>
      </c>
      <c r="B21" s="4" t="inlineStr">
        <is>
          <t>Bedroom 2</t>
        </is>
      </c>
      <c r="C21" s="4" t="inlineStr">
        <is>
          <t>Queen bed 5' x 6'6" (or 4'6" double)</t>
        </is>
      </c>
      <c r="D21" s="4" t="inlineStr">
        <is>
          <t>Loose furniture</t>
        </is>
      </c>
      <c r="E21" s="4" t="n">
        <v>5</v>
      </c>
      <c r="F21" s="4" t="n">
        <v>6.5</v>
      </c>
      <c r="G21" s="4" t="n">
        <v>1</v>
      </c>
      <c r="H21" s="4" t="inlineStr">
        <is>
          <t>Teak, head to south</t>
        </is>
      </c>
      <c r="I21" s="10" t="n"/>
      <c r="J21" s="11">
        <f>G21*I21</f>
        <v/>
      </c>
      <c r="K21" s="8" t="inlineStr"/>
      <c r="L21" s="8" t="inlineStr"/>
    </row>
    <row r="22">
      <c r="A22" s="4" t="inlineStr">
        <is>
          <t>F21</t>
        </is>
      </c>
      <c r="B22" s="4" t="inlineStr">
        <is>
          <t>Bedroom 2</t>
        </is>
      </c>
      <c r="C22" s="4" t="inlineStr">
        <is>
          <t>Bedside table</t>
        </is>
      </c>
      <c r="D22" s="4" t="inlineStr">
        <is>
          <t>Loose furniture</t>
        </is>
      </c>
      <c r="E22" s="4" t="n">
        <v>1.1</v>
      </c>
      <c r="F22" s="4" t="n">
        <v>1.1</v>
      </c>
      <c r="G22" s="4" t="n">
        <v>1</v>
      </c>
      <c r="H22" s="4" t="inlineStr">
        <is>
          <t>Teak</t>
        </is>
      </c>
      <c r="I22" s="10" t="n"/>
      <c r="J22" s="11">
        <f>G22*I22</f>
        <v/>
      </c>
      <c r="K22" s="8" t="inlineStr"/>
      <c r="L22" s="8" t="inlineStr"/>
    </row>
    <row r="23">
      <c r="A23" s="4" t="inlineStr">
        <is>
          <t>F22</t>
        </is>
      </c>
      <c r="B23" s="4" t="inlineStr">
        <is>
          <t>Bedroom 2</t>
        </is>
      </c>
      <c r="C23" s="4" t="inlineStr">
        <is>
          <t>Study desk 3'-4" (beside the foot of the bed)</t>
        </is>
      </c>
      <c r="D23" s="4" t="inlineStr">
        <is>
          <t>Loose furniture</t>
        </is>
      </c>
      <c r="E23" s="4" t="n">
        <v>3.3</v>
      </c>
      <c r="F23" s="4" t="n">
        <v>1.4</v>
      </c>
      <c r="G23" s="4" t="n">
        <v>1</v>
      </c>
      <c r="H23" s="4" t="inlineStr">
        <is>
          <t>Teak / ply</t>
        </is>
      </c>
      <c r="I23" s="10" t="n"/>
      <c r="J23" s="11">
        <f>G23*I23</f>
        <v/>
      </c>
      <c r="K23" s="8" t="inlineStr"/>
      <c r="L23" s="8" t="inlineStr"/>
    </row>
    <row r="24">
      <c r="A24" s="4" t="inlineStr">
        <is>
          <t>F23</t>
        </is>
      </c>
      <c r="B24" s="4" t="inlineStr">
        <is>
          <t>Bedroom 2</t>
        </is>
      </c>
      <c r="C24" s="4" t="inlineStr">
        <is>
          <t>Built-in wardrobe 6'</t>
        </is>
      </c>
      <c r="D24" s="4" t="inlineStr">
        <is>
          <t>Built-in joinery</t>
        </is>
      </c>
      <c r="E24" s="4" t="n">
        <v>2</v>
      </c>
      <c r="F24" s="4" t="n">
        <v>6</v>
      </c>
      <c r="G24" s="4" t="n">
        <v>1</v>
      </c>
      <c r="H24" s="4" t="inlineStr">
        <is>
          <t>Ply + laminate, buffer to pooja</t>
        </is>
      </c>
      <c r="I24" s="10" t="n"/>
      <c r="J24" s="11">
        <f>G24*I24</f>
        <v/>
      </c>
      <c r="K24" s="8" t="inlineStr"/>
      <c r="L24" s="8" t="inlineStr"/>
    </row>
    <row r="25">
      <c r="A25" s="4" t="inlineStr">
        <is>
          <t>F24</t>
        </is>
      </c>
      <c r="B25" s="4" t="inlineStr">
        <is>
          <t>Dining</t>
        </is>
      </c>
      <c r="C25" s="4" t="inlineStr">
        <is>
          <t>Dining table 5' x 3', 6-seat</t>
        </is>
      </c>
      <c r="D25" s="4" t="inlineStr">
        <is>
          <t>Loose furniture</t>
        </is>
      </c>
      <c r="E25" s="4" t="n">
        <v>5</v>
      </c>
      <c r="F25" s="4" t="n">
        <v>3</v>
      </c>
      <c r="G25" s="4" t="n">
        <v>1</v>
      </c>
      <c r="H25" s="4" t="inlineStr">
        <is>
          <t>Teak or rosewood</t>
        </is>
      </c>
      <c r="I25" s="10" t="n"/>
      <c r="J25" s="11">
        <f>G25*I25</f>
        <v/>
      </c>
      <c r="K25" s="8" t="inlineStr"/>
      <c r="L25" s="8" t="inlineStr"/>
    </row>
    <row r="26">
      <c r="A26" s="4" t="inlineStr">
        <is>
          <t>F25</t>
        </is>
      </c>
      <c r="B26" s="4" t="inlineStr">
        <is>
          <t>Dining</t>
        </is>
      </c>
      <c r="C26" s="4" t="inlineStr">
        <is>
          <t>Dining chair</t>
        </is>
      </c>
      <c r="D26" s="4" t="inlineStr">
        <is>
          <t>Loose furniture</t>
        </is>
      </c>
      <c r="E26" s="4" t="n">
        <v>1.1</v>
      </c>
      <c r="F26" s="4" t="n">
        <v>1</v>
      </c>
      <c r="G26" s="4" t="n">
        <v>6</v>
      </c>
      <c r="H26" s="4" t="inlineStr">
        <is>
          <t>Teak + cane</t>
        </is>
      </c>
      <c r="I26" s="10" t="n"/>
      <c r="J26" s="11">
        <f>G26*I26</f>
        <v/>
      </c>
      <c r="K26" s="8" t="inlineStr"/>
      <c r="L26" s="8" t="inlineStr"/>
    </row>
    <row r="27">
      <c r="A27" s="4" t="inlineStr">
        <is>
          <t>F26</t>
        </is>
      </c>
      <c r="B27" s="4" t="inlineStr">
        <is>
          <t>Pooja</t>
        </is>
      </c>
      <c r="C27" s="4" t="inlineStr">
        <is>
          <t>Pooja mandapam / shelf (east wall)</t>
        </is>
      </c>
      <c r="D27" s="4" t="inlineStr">
        <is>
          <t>Built-in joinery</t>
        </is>
      </c>
      <c r="E27" s="4" t="n">
        <v>0.6</v>
      </c>
      <c r="F27" s="4" t="n">
        <v>3</v>
      </c>
      <c r="G27" s="4" t="n">
        <v>1</v>
      </c>
      <c r="H27" s="4" t="inlineStr">
        <is>
          <t>Carved teak</t>
        </is>
      </c>
      <c r="I27" s="10" t="n"/>
      <c r="J27" s="11">
        <f>G27*I27</f>
        <v/>
      </c>
      <c r="K27" s="8" t="inlineStr"/>
      <c r="L27" s="8" t="inlineStr"/>
    </row>
    <row r="28">
      <c r="A28" s="4" t="inlineStr">
        <is>
          <t>F27</t>
        </is>
      </c>
      <c r="B28" s="4" t="inlineStr">
        <is>
          <t>Pooja</t>
        </is>
      </c>
      <c r="C28" s="4" t="inlineStr">
        <is>
          <t>Pooja cupboard</t>
        </is>
      </c>
      <c r="D28" s="4" t="inlineStr">
        <is>
          <t>Built-in joinery</t>
        </is>
      </c>
      <c r="E28" s="4" t="n">
        <v>1.3</v>
      </c>
      <c r="F28" s="4" t="n">
        <v>1.6</v>
      </c>
      <c r="G28" s="4" t="n">
        <v>1</v>
      </c>
      <c r="H28" s="4" t="inlineStr">
        <is>
          <t>Teak</t>
        </is>
      </c>
      <c r="I28" s="10" t="n"/>
      <c r="J28" s="11">
        <f>G28*I28</f>
        <v/>
      </c>
      <c r="K28" s="8" t="inlineStr"/>
      <c r="L28" s="8" t="inlineStr"/>
    </row>
    <row r="29">
      <c r="A29" s="4" t="inlineStr">
        <is>
          <t>F28</t>
        </is>
      </c>
      <c r="B29" s="4" t="inlineStr">
        <is>
          <t>Store</t>
        </is>
      </c>
      <c r="C29" s="4" t="inlineStr">
        <is>
          <t>Shelving, L-shaped</t>
        </is>
      </c>
      <c r="D29" s="4" t="inlineStr">
        <is>
          <t>Built-in joinery</t>
        </is>
      </c>
      <c r="E29" s="4" t="n">
        <v>5.4</v>
      </c>
      <c r="F29" s="4" t="n">
        <v>1.5</v>
      </c>
      <c r="G29" s="4" t="n">
        <v>1</v>
      </c>
      <c r="H29" s="4" t="inlineStr">
        <is>
          <t>MS or ply, 1.5 ft deep</t>
        </is>
      </c>
      <c r="I29" s="10" t="n"/>
      <c r="J29" s="11">
        <f>G29*I29</f>
        <v/>
      </c>
      <c r="K29" s="8" t="inlineStr"/>
      <c r="L29" s="8" t="inlineStr"/>
    </row>
    <row r="30">
      <c r="A30" s="4" t="inlineStr">
        <is>
          <t>F29</t>
        </is>
      </c>
      <c r="B30" s="4" t="inlineStr">
        <is>
          <t>Wet area</t>
        </is>
      </c>
      <c r="C30" s="4" t="inlineStr">
        <is>
          <t>Double-bowl utility sink counter</t>
        </is>
      </c>
      <c r="D30" s="4" t="inlineStr">
        <is>
          <t>Sanitary / plumbing</t>
        </is>
      </c>
      <c r="E30" s="4" t="n">
        <v>4</v>
      </c>
      <c r="F30" s="4" t="n">
        <v>1.9</v>
      </c>
      <c r="G30" s="4" t="n">
        <v>1</v>
      </c>
      <c r="H30" s="4" t="inlineStr">
        <is>
          <t>Kadappa / granite, SS sinks</t>
        </is>
      </c>
      <c r="I30" s="10" t="n"/>
      <c r="J30" s="11">
        <f>G30*I30</f>
        <v/>
      </c>
      <c r="K30" s="8" t="inlineStr"/>
      <c r="L30" s="8" t="inlineStr"/>
    </row>
    <row r="31">
      <c r="A31" s="4" t="inlineStr">
        <is>
          <t>F30</t>
        </is>
      </c>
      <c r="B31" s="4" t="inlineStr">
        <is>
          <t>Wet area</t>
        </is>
      </c>
      <c r="C31" s="4" t="inlineStr">
        <is>
          <t>Washing machine bay 2' x 2'</t>
        </is>
      </c>
      <c r="D31" s="4" t="inlineStr">
        <is>
          <t>Appliance / joinery</t>
        </is>
      </c>
      <c r="E31" s="4" t="n">
        <v>1.9</v>
      </c>
      <c r="F31" s="4" t="n">
        <v>2</v>
      </c>
      <c r="G31" s="4" t="n">
        <v>1</v>
      </c>
      <c r="H31" s="4" t="inlineStr">
        <is>
          <t>Splash-proof socket, floor drain</t>
        </is>
      </c>
      <c r="I31" s="10" t="n"/>
      <c r="J31" s="11">
        <f>G31*I31</f>
        <v/>
      </c>
      <c r="K31" s="8" t="inlineStr"/>
      <c r="L31" s="8" t="inlineStr"/>
    </row>
    <row r="32">
      <c r="A32" s="4" t="inlineStr">
        <is>
          <t>F31</t>
        </is>
      </c>
      <c r="B32" s="4" t="inlineStr">
        <is>
          <t>Wet area</t>
        </is>
      </c>
      <c r="C32" s="4" t="inlineStr">
        <is>
          <t>Ceiling pulley clothes airer</t>
        </is>
      </c>
      <c r="D32" s="4" t="inlineStr">
        <is>
          <t>Built-in joinery</t>
        </is>
      </c>
      <c r="E32" s="4" t="n">
        <v>4</v>
      </c>
      <c r="F32" s="4" t="n">
        <v>2.5</v>
      </c>
      <c r="G32" s="4" t="n">
        <v>1</v>
      </c>
      <c r="H32" s="4" t="inlineStr">
        <is>
          <t>Aluminium</t>
        </is>
      </c>
      <c r="I32" s="10" t="n"/>
      <c r="J32" s="11">
        <f>G32*I32</f>
        <v/>
      </c>
      <c r="K32" s="8" t="inlineStr"/>
      <c r="L32" s="8" t="inlineStr"/>
    </row>
    <row r="33">
      <c r="A33" s="4" t="inlineStr">
        <is>
          <t>F32</t>
        </is>
      </c>
      <c r="B33" s="4" t="inlineStr">
        <is>
          <t>Wash link</t>
        </is>
      </c>
      <c r="C33" s="4" t="inlineStr">
        <is>
          <t>Hand-wash basin 16-20 in</t>
        </is>
      </c>
      <c r="D33" s="4" t="inlineStr">
        <is>
          <t>Sanitary / plumbing</t>
        </is>
      </c>
      <c r="E33" s="4" t="n">
        <v>2</v>
      </c>
      <c r="F33" s="4" t="n">
        <v>1.1</v>
      </c>
      <c r="G33" s="4" t="n">
        <v>1</v>
      </c>
      <c r="H33" s="4" t="inlineStr">
        <is>
          <t>Ceramic, wall-hung</t>
        </is>
      </c>
      <c r="I33" s="10" t="n"/>
      <c r="J33" s="11">
        <f>G33*I33</f>
        <v/>
      </c>
      <c r="K33" s="8" t="inlineStr"/>
      <c r="L33" s="8" t="inlineStr"/>
    </row>
    <row r="34">
      <c r="A34" s="4" t="inlineStr">
        <is>
          <t>F33</t>
        </is>
      </c>
      <c r="B34" s="4" t="inlineStr">
        <is>
          <t>Wash link</t>
        </is>
      </c>
      <c r="C34" s="4" t="inlineStr">
        <is>
          <t>Crockery / serving unit, 1 ft deep</t>
        </is>
      </c>
      <c r="D34" s="4" t="inlineStr">
        <is>
          <t>Built-in joinery</t>
        </is>
      </c>
      <c r="E34" s="4" t="n">
        <v>5.1</v>
      </c>
      <c r="F34" s="4" t="n">
        <v>0.9</v>
      </c>
      <c r="G34" s="4" t="n">
        <v>1</v>
      </c>
      <c r="H34" s="4" t="inlineStr">
        <is>
          <t>Teak + glass shutters</t>
        </is>
      </c>
      <c r="I34" s="10" t="n"/>
      <c r="J34" s="11">
        <f>G34*I34</f>
        <v/>
      </c>
      <c r="K34" s="8" t="inlineStr"/>
      <c r="L34" s="8" t="inlineStr"/>
    </row>
    <row r="35">
      <c r="A35" s="4" t="inlineStr">
        <is>
          <t>F34</t>
        </is>
      </c>
      <c r="B35" s="4" t="inlineStr">
        <is>
          <t>Kitchen</t>
        </is>
      </c>
      <c r="C35" s="4" t="inlineStr">
        <is>
          <t>L-counter, south run</t>
        </is>
      </c>
      <c r="D35" s="4" t="inlineStr">
        <is>
          <t>Built-in joinery</t>
        </is>
      </c>
      <c r="E35" s="4" t="n">
        <v>9.199999999999999</v>
      </c>
      <c r="F35" s="4" t="n">
        <v>2</v>
      </c>
      <c r="G35" s="4" t="n">
        <v>1</v>
      </c>
      <c r="H35" s="4" t="inlineStr">
        <is>
          <t>Granite top, ply carcass</t>
        </is>
      </c>
      <c r="I35" s="10" t="n"/>
      <c r="J35" s="11">
        <f>G35*I35</f>
        <v/>
      </c>
      <c r="K35" s="8" t="inlineStr"/>
      <c r="L35" s="8" t="inlineStr"/>
    </row>
    <row r="36">
      <c r="A36" s="4" t="inlineStr">
        <is>
          <t>F35</t>
        </is>
      </c>
      <c r="B36" s="4" t="inlineStr">
        <is>
          <t>Kitchen</t>
        </is>
      </c>
      <c r="C36" s="4" t="inlineStr">
        <is>
          <t>L-counter, east run (hob)</t>
        </is>
      </c>
      <c r="D36" s="4" t="inlineStr">
        <is>
          <t>Built-in joinery</t>
        </is>
      </c>
      <c r="E36" s="4" t="n">
        <v>2</v>
      </c>
      <c r="F36" s="4" t="n">
        <v>7</v>
      </c>
      <c r="G36" s="4" t="n">
        <v>1</v>
      </c>
      <c r="H36" s="4" t="inlineStr">
        <is>
          <t>Granite top, cook faces east</t>
        </is>
      </c>
      <c r="I36" s="10" t="n"/>
      <c r="J36" s="11">
        <f>G36*I36</f>
        <v/>
      </c>
      <c r="K36" s="8" t="inlineStr"/>
      <c r="L36" s="8" t="inlineStr"/>
    </row>
    <row r="37">
      <c r="A37" s="4" t="inlineStr">
        <is>
          <t>F36</t>
        </is>
      </c>
      <c r="B37" s="4" t="inlineStr">
        <is>
          <t>Kitchen</t>
        </is>
      </c>
      <c r="C37" s="4" t="inlineStr">
        <is>
          <t>Refrigerator space</t>
        </is>
      </c>
      <c r="D37" s="4" t="inlineStr">
        <is>
          <t>Appliance / joinery</t>
        </is>
      </c>
      <c r="E37" s="4" t="n">
        <v>2.3</v>
      </c>
      <c r="F37" s="4" t="n">
        <v>2</v>
      </c>
      <c r="G37" s="4" t="n">
        <v>1</v>
      </c>
      <c r="H37" s="4" t="inlineStr">
        <is>
          <t>Double-door, 2'6" wide</t>
        </is>
      </c>
      <c r="I37" s="10" t="n"/>
      <c r="J37" s="11">
        <f>G37*I37</f>
        <v/>
      </c>
      <c r="K37" s="8" t="inlineStr"/>
      <c r="L37" s="8" t="inlineStr"/>
    </row>
    <row r="38">
      <c r="A38" s="4" t="inlineStr">
        <is>
          <t>F37</t>
        </is>
      </c>
      <c r="B38" s="4" t="inlineStr">
        <is>
          <t>Living</t>
        </is>
      </c>
      <c r="C38" s="4" t="inlineStr">
        <is>
          <t>TV unit + 50-55 in TV</t>
        </is>
      </c>
      <c r="D38" s="4" t="inlineStr">
        <is>
          <t>Appliance / joinery</t>
        </is>
      </c>
      <c r="E38" s="4" t="n">
        <v>3.4</v>
      </c>
      <c r="F38" s="4" t="n">
        <v>1.2</v>
      </c>
      <c r="G38" s="4" t="n">
        <v>1</v>
      </c>
      <c r="H38" s="4" t="inlineStr">
        <is>
          <t>Teak, on solid wall in screen</t>
        </is>
      </c>
      <c r="I38" s="10" t="n"/>
      <c r="J38" s="11">
        <f>G38*I38</f>
        <v/>
      </c>
      <c r="K38" s="8" t="inlineStr"/>
      <c r="L38" s="8" t="inlineStr"/>
    </row>
    <row r="39">
      <c r="A39" s="4" t="inlineStr">
        <is>
          <t>F38</t>
        </is>
      </c>
      <c r="B39" s="4" t="inlineStr">
        <is>
          <t>Living</t>
        </is>
      </c>
      <c r="C39" s="4" t="inlineStr">
        <is>
          <t>Three-seat sofa 6'6"</t>
        </is>
      </c>
      <c r="D39" s="4" t="inlineStr">
        <is>
          <t>Loose furniture</t>
        </is>
      </c>
      <c r="E39" s="4" t="n">
        <v>6.5</v>
      </c>
      <c r="F39" s="4" t="n">
        <v>2.7</v>
      </c>
      <c r="G39" s="4" t="n">
        <v>1</v>
      </c>
      <c r="H39" s="4" t="inlineStr">
        <is>
          <t>Teak frame, cotton cushions</t>
        </is>
      </c>
      <c r="I39" s="10" t="n"/>
      <c r="J39" s="11">
        <f>G39*I39</f>
        <v/>
      </c>
      <c r="K39" s="8" t="inlineStr"/>
      <c r="L39" s="8" t="inlineStr"/>
    </row>
    <row r="40">
      <c r="A40" s="4" t="inlineStr">
        <is>
          <t>F39</t>
        </is>
      </c>
      <c r="B40" s="4" t="inlineStr">
        <is>
          <t>Living</t>
        </is>
      </c>
      <c r="C40" s="4" t="inlineStr">
        <is>
          <t>Coffee table 3'6" x 2'</t>
        </is>
      </c>
      <c r="D40" s="4" t="inlineStr">
        <is>
          <t>Loose furniture</t>
        </is>
      </c>
      <c r="E40" s="4" t="n">
        <v>3.5</v>
      </c>
      <c r="F40" s="4" t="n">
        <v>2</v>
      </c>
      <c r="G40" s="4" t="n">
        <v>1</v>
      </c>
      <c r="H40" s="4" t="inlineStr">
        <is>
          <t>Teak</t>
        </is>
      </c>
      <c r="I40" s="10" t="n"/>
      <c r="J40" s="11">
        <f>G40*I40</f>
        <v/>
      </c>
      <c r="K40" s="8" t="inlineStr"/>
      <c r="L40" s="8" t="inlineStr"/>
    </row>
    <row r="41">
      <c r="A41" s="4" t="inlineStr">
        <is>
          <t>F40</t>
        </is>
      </c>
      <c r="B41" s="4" t="inlineStr">
        <is>
          <t>Living</t>
        </is>
      </c>
      <c r="C41" s="4" t="inlineStr">
        <is>
          <t>Morning armchair by east window</t>
        </is>
      </c>
      <c r="D41" s="4" t="inlineStr">
        <is>
          <t>Loose furniture</t>
        </is>
      </c>
      <c r="E41" s="4" t="n">
        <v>2</v>
      </c>
      <c r="F41" s="4" t="n">
        <v>2</v>
      </c>
      <c r="G41" s="4" t="n">
        <v>1</v>
      </c>
      <c r="H41" s="4" t="inlineStr">
        <is>
          <t>Cane / teak</t>
        </is>
      </c>
      <c r="I41" s="10" t="n"/>
      <c r="J41" s="11">
        <f>G41*I41</f>
        <v/>
      </c>
      <c r="K41" s="8" t="inlineStr"/>
      <c r="L41" s="8" t="inlineStr"/>
    </row>
    <row r="42">
      <c r="A42" s="4" t="inlineStr">
        <is>
          <t>F41</t>
        </is>
      </c>
      <c r="B42" s="4" t="inlineStr">
        <is>
          <t>Poomukham (verandah)</t>
        </is>
      </c>
      <c r="C42" s="4" t="inlineStr">
        <is>
          <t>Oonjal (swing) 3'6"</t>
        </is>
      </c>
      <c r="D42" s="4" t="inlineStr">
        <is>
          <t>Loose furniture</t>
        </is>
      </c>
      <c r="E42" s="4" t="n">
        <v>3.5</v>
      </c>
      <c r="F42" s="4" t="n">
        <v>1.5</v>
      </c>
      <c r="G42" s="4" t="n">
        <v>1</v>
      </c>
      <c r="H42" s="4" t="inlineStr">
        <is>
          <t>Teak, chains to beam</t>
        </is>
      </c>
      <c r="I42" s="10" t="n"/>
      <c r="J42" s="11">
        <f>G42*I42</f>
        <v/>
      </c>
      <c r="K42" s="8" t="inlineStr"/>
      <c r="L42" s="8" t="inlineStr"/>
    </row>
    <row r="43">
      <c r="A43" s="4" t="inlineStr">
        <is>
          <t>F42</t>
        </is>
      </c>
      <c r="B43" s="4" t="inlineStr">
        <is>
          <t>Poomukham (verandah)</t>
        </is>
      </c>
      <c r="C43" s="4" t="inlineStr">
        <is>
          <t>Arugu seats (built-in)</t>
        </is>
      </c>
      <c r="D43" s="4" t="inlineStr">
        <is>
          <t>Built-in joinery</t>
        </is>
      </c>
      <c r="E43" s="4" t="n">
        <v>1.2</v>
      </c>
      <c r="F43" s="4" t="n">
        <v>4.2</v>
      </c>
      <c r="G43" s="4" t="n">
        <v>2</v>
      </c>
      <c r="H43" s="4" t="inlineStr">
        <is>
          <t>Laterite base, teak top</t>
        </is>
      </c>
      <c r="I43" s="10" t="n"/>
      <c r="J43" s="11">
        <f>G43*I43</f>
        <v/>
      </c>
      <c r="K43" s="8" t="inlineStr"/>
      <c r="L43" s="8" t="inlineStr"/>
    </row>
    <row r="44">
      <c r="A44" s="6" t="inlineStr"/>
      <c r="B44" s="6" t="inlineStr"/>
      <c r="C44" s="6" t="inlineStr">
        <is>
          <t>Total</t>
        </is>
      </c>
      <c r="D44" s="6" t="inlineStr"/>
      <c r="E44" s="6" t="inlineStr"/>
      <c r="F44" s="6" t="inlineStr"/>
      <c r="G44" s="6">
        <f>SUM(G2:G43)</f>
        <v/>
      </c>
      <c r="H44" s="6" t="inlineStr"/>
      <c r="I44" s="12" t="inlineStr"/>
      <c r="J44" s="12">
        <f>SUM(J2:J43)</f>
        <v/>
      </c>
      <c r="K44" s="6" t="inlineStr"/>
      <c r="L44" s="6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2" customWidth="1" min="2" max="2"/>
    <col width="32" customWidth="1" min="3" max="3"/>
    <col width="34" customWidth="1" min="4" max="4"/>
    <col width="26" customWidth="1" min="5" max="5"/>
    <col width="16" customWidth="1" min="6" max="6"/>
  </cols>
  <sheetData>
    <row r="1" ht="30" customHeight="1">
      <c r="A1" s="3" t="inlineStr">
        <is>
          <t>Space</t>
        </is>
      </c>
      <c r="B1" s="3" t="inlineStr">
        <is>
          <t>Floor</t>
        </is>
      </c>
      <c r="C1" s="3" t="inlineStr">
        <is>
          <t>Walls</t>
        </is>
      </c>
      <c r="D1" s="3" t="inlineStr">
        <is>
          <t>Ceiling</t>
        </is>
      </c>
      <c r="E1" s="3" t="inlineStr">
        <is>
          <t>Notes</t>
        </is>
      </c>
      <c r="F1" s="3" t="inlineStr">
        <is>
          <t>Decision</t>
        </is>
      </c>
    </row>
    <row r="2">
      <c r="A2" s="4" t="inlineStr">
        <is>
          <t>Living, dining, hall</t>
        </is>
      </c>
      <c r="B2" s="4" t="inlineStr">
        <is>
          <t>Red oxide (IPS) or polished Kota / Tandur stone</t>
        </is>
      </c>
      <c r="C2" s="4" t="inlineStr">
        <is>
          <t>4 in flush skirting in floor stone; lime-finish or mineral paint</t>
        </is>
      </c>
      <c r="D2" s="4" t="inlineStr">
        <is>
          <t>Sloped, follows roof, insulated board under deck</t>
        </is>
      </c>
      <c r="E2" s="4" t="inlineStr">
        <is>
          <t>Stone hides dust better than glossy white tile</t>
        </is>
      </c>
      <c r="F2" s="8" t="inlineStr"/>
    </row>
    <row r="3">
      <c r="A3" s="4" t="inlineStr">
        <is>
          <t>Bedrooms, offices, dressing, walk-in</t>
        </is>
      </c>
      <c r="B3" s="4" t="inlineStr">
        <is>
          <t>Matt vitrified 2x2 ft or red oxide</t>
        </is>
      </c>
      <c r="C3" s="4" t="inlineStr">
        <is>
          <t>4 in flush skirting; putty + washable emulsion</t>
        </is>
      </c>
      <c r="D3" s="4" t="inlineStr">
        <is>
          <t>False ceiling at 9'-6", 50 mm insulation above</t>
        </is>
      </c>
      <c r="E3" s="4" t="inlineStr">
        <is>
          <t>Ventilated attic above false ceiling</t>
        </is>
      </c>
      <c r="F3" s="8" t="inlineStr"/>
    </row>
    <row r="4">
      <c r="A4" s="4" t="inlineStr">
        <is>
          <t>Pooja</t>
        </is>
      </c>
      <c r="B4" s="4" t="inlineStr">
        <is>
          <t>White marble or teak</t>
        </is>
      </c>
      <c r="C4" s="4" t="inlineStr">
        <is>
          <t>Teak panelling behind idol; 4 in marble skirting</t>
        </is>
      </c>
      <c r="D4" s="4" t="inlineStr">
        <is>
          <t>Teak / board at 9'-6"</t>
        </is>
      </c>
      <c r="E4" s="4" t="inlineStr">
        <is>
          <t>Idol on east wall; lamp niche with heat-proof back</t>
        </is>
      </c>
      <c r="F4" s="8" t="inlineStr"/>
    </row>
    <row r="5">
      <c r="A5" s="4" t="inlineStr">
        <is>
          <t>Kitchen</t>
        </is>
      </c>
      <c r="B5" s="4" t="inlineStr">
        <is>
          <t>Anti-skid matt vitrified or Kota, mid-tone</t>
        </is>
      </c>
      <c r="C5" s="4" t="inlineStr">
        <is>
          <t>Tile / stone full height between counter and wall cabinets</t>
        </is>
      </c>
      <c r="D5" s="4" t="inlineStr">
        <is>
          <t>Moisture-resistant board at 9'-6"</t>
        </is>
      </c>
      <c r="E5" s="4" t="inlineStr">
        <is>
          <t>Counter granite (local Ongole / Chimakurthy), 2 ft deep</t>
        </is>
      </c>
      <c r="F5" s="8" t="inlineStr"/>
    </row>
    <row r="6">
      <c r="A6" s="4" t="inlineStr">
        <is>
          <t>Ensuite, Bath 2</t>
        </is>
      </c>
      <c r="B6" s="4" t="inlineStr">
        <is>
          <t>Anti-skid ceramic (R11), falls 1:60 to drain</t>
        </is>
      </c>
      <c r="C6" s="4" t="inlineStr">
        <is>
          <t>Tiles to 7 ft; full height in shower; waterproofing 12 in up all walls, 7 ft in shower</t>
        </is>
      </c>
      <c r="D6" s="4" t="inlineStr">
        <is>
          <t>Moisture-resistant board / PVC at 8'-6"</t>
        </is>
      </c>
      <c r="E6" s="4" t="inlineStr">
        <is>
          <t>12 mm step down, no raised threshold</t>
        </is>
      </c>
      <c r="F6" s="8" t="inlineStr"/>
    </row>
    <row r="7">
      <c r="A7" s="4" t="inlineStr">
        <is>
          <t>Wet area, wash link</t>
        </is>
      </c>
      <c r="B7" s="4" t="inlineStr">
        <is>
          <t>Rough Cuddapah / Kota stone, falls to drain</t>
        </is>
      </c>
      <c r="C7" s="4" t="inlineStr">
        <is>
          <t>4 ft stone or tile dado</t>
        </is>
      </c>
      <c r="D7" s="4" t="inlineStr">
        <is>
          <t>Open truss</t>
        </is>
      </c>
      <c r="E7" s="4" t="inlineStr">
        <is>
          <t>6 in kerb under jali wall stops rain blowing in</t>
        </is>
      </c>
      <c r="F7" s="8" t="inlineStr"/>
    </row>
    <row r="8">
      <c r="A8" s="4" t="inlineStr">
        <is>
          <t>Store, walk-in</t>
        </is>
      </c>
      <c r="B8" s="4" t="inlineStr">
        <is>
          <t>Red oxide or vitrified</t>
        </is>
      </c>
      <c r="C8" s="4" t="inlineStr">
        <is>
          <t>4 in flush skirting; washable paint</t>
        </is>
      </c>
      <c r="D8" s="4" t="inlineStr">
        <is>
          <t>Board at 9'-6"</t>
        </is>
      </c>
      <c r="E8" s="4" t="inlineStr"/>
      <c r="F8" s="8" t="inlineStr"/>
    </row>
    <row r="9">
      <c r="A9" s="4" t="inlineStr">
        <is>
          <t>Poomukham, steps</t>
        </is>
      </c>
      <c r="B9" s="4" t="inlineStr">
        <is>
          <t>Flamed / leather-finish granite (not polished)</t>
        </is>
      </c>
      <c r="C9" s="4" t="inlineStr">
        <is>
          <t>Granite skirting; plinth face clad 2 ft (splash zone)</t>
        </is>
      </c>
      <c r="D9" s="4" t="inlineStr">
        <is>
          <t>Exposed rafters + board</t>
        </is>
      </c>
      <c r="E9" s="4" t="inlineStr">
        <is>
          <t>Polished stone is slippery when wet</t>
        </is>
      </c>
      <c r="F9" s="8" t="inlineStr"/>
    </row>
    <row r="10">
      <c r="A10" s="4" t="inlineStr">
        <is>
          <t>Exterior</t>
        </is>
      </c>
      <c r="B10" s="4" t="inlineStr">
        <is>
          <t>Plinth apron: PCC 3 ft wide sloped away</t>
        </is>
      </c>
      <c r="C10" s="4" t="inlineStr">
        <is>
          <t>AAC + 20 mm plaster with waterproof additive; elastomeric paint</t>
        </is>
      </c>
      <c r="D10" s="4" t="inlineStr">
        <is>
          <t>-</t>
        </is>
      </c>
      <c r="E10" s="4" t="inlineStr">
        <is>
          <t>Drip grooves under every sill and sunshade</t>
        </is>
      </c>
      <c r="F10" s="8" t="inlineStr"/>
    </row>
    <row r="11">
      <c r="A11" s="4" t="inlineStr">
        <is>
          <t>Roof (all)</t>
        </is>
      </c>
      <c r="B11" s="4" t="inlineStr">
        <is>
          <t>Mangalore clay tiles, every edge tile clipped / screwed</t>
        </is>
      </c>
      <c r="C11" s="4" t="inlineStr">
        <is>
          <t>Membrane + 50 mm insulation on cement-fibre deck</t>
        </is>
      </c>
      <c r="D11" s="4" t="inlineStr">
        <is>
          <t>Steel truss on RCC ring beam</t>
        </is>
      </c>
      <c r="E11" s="4" t="inlineStr">
        <is>
          <t>Cyclone winds: tie trusses down with holding-down bolts</t>
        </is>
      </c>
      <c r="F11" s="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70" customWidth="1" min="3" max="3"/>
    <col width="50" customWidth="1" min="4" max="4"/>
  </cols>
  <sheetData>
    <row r="1" ht="30" customHeight="1">
      <c r="A1" s="3" t="inlineStr">
        <is>
          <t>Category</t>
        </is>
      </c>
      <c r="B1" s="3" t="inlineStr">
        <is>
          <t>Element</t>
        </is>
      </c>
      <c r="C1" s="3" t="inlineStr">
        <is>
          <t>Specification</t>
        </is>
      </c>
      <c r="D1" s="3" t="inlineStr">
        <is>
          <t>Why (Guntur)</t>
        </is>
      </c>
    </row>
    <row r="2">
      <c r="A2" s="4" t="inlineStr">
        <is>
          <t>Substructure</t>
        </is>
      </c>
      <c r="B2" s="4" t="inlineStr">
        <is>
          <t>Soil investigation</t>
        </is>
      </c>
      <c r="C2" s="4" t="inlineStr">
        <is>
          <t>Min. 2 bore holes to 3 m or refusal; swell test, SBC</t>
        </is>
      </c>
      <c r="D2" s="4" t="inlineStr">
        <is>
          <t>Black cotton soil swells when wet and shrinks when dry</t>
        </is>
      </c>
    </row>
    <row r="3">
      <c r="A3" s="4" t="inlineStr">
        <is>
          <t>Substructure</t>
        </is>
      </c>
      <c r="B3" s="4" t="inlineStr">
        <is>
          <t>Foundations</t>
        </is>
      </c>
      <c r="C3" s="4" t="inlineStr">
        <is>
          <t>As per engineer: footings below the active zone (often 1.5-2.5 m) or under-reamed piles; 300 mm sand/moorum cushion</t>
        </is>
      </c>
      <c r="D3" s="4" t="inlineStr">
        <is>
          <t>Prevents seasonal heave cracking</t>
        </is>
      </c>
    </row>
    <row r="4">
      <c r="A4" s="4" t="inlineStr">
        <is>
          <t>Substructure</t>
        </is>
      </c>
      <c r="B4" s="4" t="inlineStr">
        <is>
          <t>Plinth beam + DPC</t>
        </is>
      </c>
      <c r="C4" s="4" t="inlineStr">
        <is>
          <t>RCC plinth beam all round; 40 mm DPC with waterproofing compound at plinth top</t>
        </is>
      </c>
      <c r="D4" s="4" t="inlineStr">
        <is>
          <t>Stops rising damp into AAC</t>
        </is>
      </c>
    </row>
    <row r="5">
      <c r="A5" s="4" t="inlineStr">
        <is>
          <t>Substructure</t>
        </is>
      </c>
      <c r="B5" s="4" t="inlineStr">
        <is>
          <t>Plinth fill</t>
        </is>
      </c>
      <c r="C5" s="4" t="inlineStr">
        <is>
          <t>Non-expansive moorum / gravel in 150 mm layers, compacted; no black soil fill</t>
        </is>
      </c>
      <c r="D5" s="4" t="inlineStr">
        <is>
          <t>Black soil under the floor will heave the slab</t>
        </is>
      </c>
    </row>
    <row r="6">
      <c r="A6" s="4" t="inlineStr">
        <is>
          <t>Substructure</t>
        </is>
      </c>
      <c r="B6" s="4" t="inlineStr">
        <is>
          <t>Anti-termite</t>
        </is>
      </c>
      <c r="C6" s="4" t="inlineStr">
        <is>
          <t>Pre-construction chemical treatment (IS 6313) at foundation, plinth fill and around walls</t>
        </is>
      </c>
      <c r="D6" s="4" t="inlineStr">
        <is>
          <t>High termite risk; cannot be redone easily later</t>
        </is>
      </c>
    </row>
    <row r="7">
      <c r="A7" s="4" t="inlineStr">
        <is>
          <t>Substructure</t>
        </is>
      </c>
      <c r="B7" s="4" t="inlineStr">
        <is>
          <t>Plinth protection</t>
        </is>
      </c>
      <c r="C7" s="4" t="inlineStr">
        <is>
          <t>3 ft PCC apron with slope away, joint sealed to wall</t>
        </is>
      </c>
      <c r="D7" s="4" t="inlineStr">
        <is>
          <t>Keeps rain off expansive soil next to foundations</t>
        </is>
      </c>
    </row>
    <row r="8">
      <c r="A8" s="4" t="inlineStr">
        <is>
          <t>Frame</t>
        </is>
      </c>
      <c r="B8" s="4" t="inlineStr">
        <is>
          <t>Columns, beams, bands</t>
        </is>
      </c>
      <c r="C8" s="4" t="inlineStr">
        <is>
          <t>RCC frame; lintel band at door head, ring beam at wall top; seismic zone III detailing (IS 13920 as engineer decides)</t>
        </is>
      </c>
      <c r="D8" s="4" t="inlineStr">
        <is>
          <t>AAC infill is not load-bearing for truss + cyclone loads</t>
        </is>
      </c>
    </row>
    <row r="9">
      <c r="A9" s="4" t="inlineStr">
        <is>
          <t>Walls</t>
        </is>
      </c>
      <c r="B9" s="4" t="inlineStr">
        <is>
          <t>AAC blocks</t>
        </is>
      </c>
      <c r="C9" s="4" t="inlineStr">
        <is>
          <t>IS 2185-3, 200 mm outer / 150 mm wet walls / 100 mm inner; thin-bed polymer mortar</t>
        </is>
      </c>
      <c r="D9" s="4" t="inlineStr">
        <is>
          <t>Better insulation than brick; lighter frame</t>
        </is>
      </c>
    </row>
    <row r="10">
      <c r="A10" s="4" t="inlineStr">
        <is>
          <t>Walls</t>
        </is>
      </c>
      <c r="B10" s="4" t="inlineStr">
        <is>
          <t>AAC to RCC joints</t>
        </is>
      </c>
      <c r="C10" s="4" t="inlineStr">
        <is>
          <t>Galvanised mesh strip 150 mm wide over every block-concrete joint before plaster</t>
        </is>
      </c>
      <c r="D10" s="4" t="inlineStr">
        <is>
          <t>The most common AAC crack; cheap to prevent</t>
        </is>
      </c>
    </row>
    <row r="11">
      <c r="A11" s="4" t="inlineStr">
        <is>
          <t>Walls</t>
        </is>
      </c>
      <c r="B11" s="4" t="inlineStr">
        <is>
          <t>Chasing</t>
        </is>
      </c>
      <c r="C11" s="4" t="inlineStr">
        <is>
          <t>Cut chases with a groover, never hammer; fill with polymer mortar + mesh</t>
        </is>
      </c>
      <c r="D11" s="4" t="inlineStr">
        <is>
          <t>Hammering cracks AAC blocks</t>
        </is>
      </c>
    </row>
    <row r="12">
      <c r="A12" s="4" t="inlineStr">
        <is>
          <t>Walls</t>
        </is>
      </c>
      <c r="B12" s="4" t="inlineStr">
        <is>
          <t>External plaster</t>
        </is>
      </c>
      <c r="C12" s="4" t="inlineStr">
        <is>
          <t>20 mm, two coats, waterproof admixture, cured 7 days; elastomeric paint</t>
        </is>
      </c>
      <c r="D12" s="4" t="inlineStr">
        <is>
          <t>Wind-driven cyclone rain</t>
        </is>
      </c>
    </row>
    <row r="13">
      <c r="A13" s="4" t="inlineStr">
        <is>
          <t>Roof</t>
        </is>
      </c>
      <c r="B13" s="4" t="inlineStr">
        <is>
          <t>Structure</t>
        </is>
      </c>
      <c r="C13" s="4" t="inlineStr">
        <is>
          <t>Steel truss (hot-dip galvanised or epoxy primed), 30 deg pitch, bolted to ring beam with holding-down bolts</t>
        </is>
      </c>
      <c r="D13" s="4" t="inlineStr">
        <is>
          <t>Uplift in cyclone winds</t>
        </is>
      </c>
    </row>
    <row r="14">
      <c r="A14" s="4" t="inlineStr">
        <is>
          <t>Roof</t>
        </is>
      </c>
      <c r="B14" s="4" t="inlineStr">
        <is>
          <t>Deck and insulation</t>
        </is>
      </c>
      <c r="C14" s="4" t="inlineStr">
        <is>
          <t>Cement-fibre board deck + 50 mm PIR/XPS or reflective insulation + membrane, then battens and Mangalore tiles</t>
        </is>
      </c>
      <c r="D14" s="4" t="inlineStr">
        <is>
          <t>Cuts attic heat in 45 C summers</t>
        </is>
      </c>
    </row>
    <row r="15">
      <c r="A15" s="4" t="inlineStr">
        <is>
          <t>Roof</t>
        </is>
      </c>
      <c r="B15" s="4" t="inlineStr">
        <is>
          <t>Tile fixing</t>
        </is>
      </c>
      <c r="C15" s="4" t="inlineStr">
        <is>
          <t>Clip or screw every tile at eaves, verges, ridges and hips, and every 3rd row elsewhere; ridges bedded and pointed</t>
        </is>
      </c>
      <c r="D15" s="4" t="inlineStr">
        <is>
          <t>Loose tiles fly in cyclones</t>
        </is>
      </c>
    </row>
    <row r="16">
      <c r="A16" s="4" t="inlineStr">
        <is>
          <t>Roof</t>
        </is>
      </c>
      <c r="B16" s="4" t="inlineStr">
        <is>
          <t>Ventilation</t>
        </is>
      </c>
      <c r="C16" s="4" t="inlineStr">
        <is>
          <t>Ridge / gable vents with bird and insect mesh; soffit vents at eaves</t>
        </is>
      </c>
      <c r="D16" s="4" t="inlineStr">
        <is>
          <t>Flushes hot air from the attic</t>
        </is>
      </c>
    </row>
    <row r="17">
      <c r="A17" s="4" t="inlineStr">
        <is>
          <t>Roof</t>
        </is>
      </c>
      <c r="B17" s="4" t="inlineStr">
        <is>
          <t>Dining ventilator</t>
        </is>
      </c>
      <c r="C17" s="4" t="inlineStr">
        <is>
          <t>Steel frame bolted to the truss; hipped tiled cap at 30 deg, 1'-6" overhang; 45 deg timber or aluminium louvres with 4 in lap; SS 304 mesh about 1.2 mm (18 x 16) in a sealed continuous frame; inner shutters with EPDM seals and a winding opener at 5 ft; 9 in upstand with flashing; fibre-cement lined, insulated shaft</t>
        </is>
      </c>
      <c r="D17" s="4" t="inlineStr">
        <is>
          <t>Lets hot air out, keeps out rain, mosquitoes and attic dust, and closes for AC</t>
        </is>
      </c>
    </row>
    <row r="18">
      <c r="A18" s="4" t="inlineStr">
        <is>
          <t>Roof</t>
        </is>
      </c>
      <c r="B18" s="4" t="inlineStr">
        <is>
          <t>Gutters and downpipes</t>
        </is>
      </c>
      <c r="C18" s="4" t="inlineStr">
        <is>
          <t>150 mm half-round gutters with leaf guard, 100 mm downpipes at 8 points, to sump filter and recharge pit</t>
        </is>
      </c>
      <c r="D18" s="4" t="inlineStr">
        <is>
          <t>Short heavy bursts; protects the plinth</t>
        </is>
      </c>
    </row>
    <row r="19">
      <c r="A19" s="4" t="inlineStr">
        <is>
          <t>Openings</t>
        </is>
      </c>
      <c r="B19" s="4" t="inlineStr">
        <is>
          <t>Windows</t>
        </is>
      </c>
      <c r="C19" s="4" t="inlineStr">
        <is>
          <t>Hardwood or UPVC frames; mosquito mesh on every opening; MS grill for security</t>
        </is>
      </c>
      <c r="D19" s="4" t="inlineStr">
        <is>
          <t>Mosquitoes; ground-floor security</t>
        </is>
      </c>
    </row>
    <row r="20">
      <c r="A20" s="4" t="inlineStr">
        <is>
          <t>Openings</t>
        </is>
      </c>
      <c r="B20" s="4" t="inlineStr">
        <is>
          <t>Sills and sunshades</t>
        </is>
      </c>
      <c r="C20" s="4" t="inlineStr">
        <is>
          <t>External sills sloped 1:10 with drip groove; 2 ft sunshades with drip groove; 18 in projecting drip under the jali wall</t>
        </is>
      </c>
      <c r="D20" s="4" t="inlineStr">
        <is>
          <t>Stops staining and water entry</t>
        </is>
      </c>
    </row>
    <row r="21">
      <c r="A21" s="4" t="inlineStr">
        <is>
          <t>Openings</t>
        </is>
      </c>
      <c r="B21" s="4" t="inlineStr">
        <is>
          <t>Vents above inner doors</t>
        </is>
      </c>
      <c r="C21" s="4" t="inlineStr">
        <is>
          <t>Offices: top-hung glazed flap with seals; walk-in, store, pooja: open jali; kitchen-wet area: louvres; bedrooms and bathrooms: none. 7'-6" to 9'-0" above the lintel band</t>
        </is>
      </c>
      <c r="D21" s="4" t="inlineStr">
        <is>
          <t>Air moves with doors shut where privacy allows; bedrooms rely on their north windows, fans and AC</t>
        </is>
      </c>
    </row>
    <row r="22">
      <c r="A22" s="4" t="inlineStr">
        <is>
          <t>Openings</t>
        </is>
      </c>
      <c r="B22" s="4" t="inlineStr">
        <is>
          <t>Bathroom doors</t>
        </is>
      </c>
      <c r="C22" s="4" t="inlineStr">
        <is>
          <t>WPC / FRP shutters on WPC or granite frame base; no wooden frame touching the wet floor</t>
        </is>
      </c>
      <c r="D22" s="4" t="inlineStr">
        <is>
          <t>Wood frames rot at the bottom</t>
        </is>
      </c>
    </row>
    <row r="23">
      <c r="A23" s="4" t="inlineStr">
        <is>
          <t>Floors</t>
        </is>
      </c>
      <c r="B23" s="4" t="inlineStr">
        <is>
          <t>General</t>
        </is>
      </c>
      <c r="C23" s="4" t="inlineStr">
        <is>
          <t>4 in skirting flush with the wall plaster (groove in plaster); 3 mm epoxy grout in wet areas</t>
        </is>
      </c>
      <c r="D23" s="4" t="inlineStr">
        <is>
          <t>No dust ledge, no black grout lines</t>
        </is>
      </c>
    </row>
    <row r="24">
      <c r="A24" s="4" t="inlineStr">
        <is>
          <t>Floors</t>
        </is>
      </c>
      <c r="B24" s="4" t="inlineStr">
        <is>
          <t>Wet rooms</t>
        </is>
      </c>
      <c r="C24" s="4" t="inlineStr">
        <is>
          <t>Waterproofing (polymer cementitious) floor + 12 in up walls + 7 ft in shower; flood test 48 h before tiling</t>
        </is>
      </c>
      <c r="D24" s="4" t="inlineStr">
        <is>
          <t>Leak into neighbouring rooms is the top complaint</t>
        </is>
      </c>
    </row>
    <row r="25">
      <c r="A25" s="4" t="inlineStr">
        <is>
          <t>Plumbing</t>
        </is>
      </c>
      <c r="B25" s="4" t="inlineStr">
        <is>
          <t>Supply</t>
        </is>
      </c>
      <c r="C25" s="4" t="inlineStr">
        <is>
          <t>CPVC hot/cold; supply runs along external walls in clamps or shallow chases; isolation valve per bathroom and kitchen</t>
        </is>
      </c>
      <c r="D25" s="4" t="inlineStr">
        <is>
          <t>Easy repair without breaking tiles</t>
        </is>
      </c>
    </row>
    <row r="26">
      <c r="A26" s="4" t="inlineStr">
        <is>
          <t>Plumbing</t>
        </is>
      </c>
      <c r="B26" s="4" t="inlineStr">
        <is>
          <t>Drainage</t>
        </is>
      </c>
      <c r="C26" s="4" t="inlineStr">
        <is>
          <t>uPVC SWR 110 mm soil, 75 mm waste; inspection chamber at every bend and junction; separate soil and grey-water lines</t>
        </is>
      </c>
      <c r="D26" s="4" t="inlineStr">
        <is>
          <t>Easy rodding</t>
        </is>
      </c>
    </row>
    <row r="27">
      <c r="A27" s="4" t="inlineStr">
        <is>
          <t>Plumbing</t>
        </is>
      </c>
      <c r="B27" s="4" t="inlineStr">
        <is>
          <t>Water treatment</t>
        </is>
      </c>
      <c r="C27" s="4" t="inlineStr">
        <is>
          <t>RO for drinking at kitchen; whole-house softener if hardness &gt; 300 mg/l; matt fittings</t>
        </is>
      </c>
      <c r="D27" s="4" t="inlineStr">
        <is>
          <t>Guntur groundwater is often hard with high fluoride</t>
        </is>
      </c>
    </row>
    <row r="28">
      <c r="A28" s="4" t="inlineStr">
        <is>
          <t>Electrical</t>
        </is>
      </c>
      <c r="B28" s="4" t="inlineStr">
        <is>
          <t>Wiring</t>
        </is>
      </c>
      <c r="C28" s="4" t="inlineStr">
        <is>
          <t>FR-LSH copper; 1.5 sq mm lights, 2.5 sq mm sockets, 4 sq mm AC / geyser; separate circuits per AC</t>
        </is>
      </c>
      <c r="D28" s="4" t="inlineStr">
        <is>
          <t>AC loads</t>
        </is>
      </c>
    </row>
    <row r="29">
      <c r="A29" s="4" t="inlineStr">
        <is>
          <t>Electrical</t>
        </is>
      </c>
      <c r="B29" s="4" t="inlineStr">
        <is>
          <t>Protection</t>
        </is>
      </c>
      <c r="C29" s="4" t="inlineStr">
        <is>
          <t>RCCB 30 mA + MCBs; 2 earth pits; surge protection device; DB in an accessible spot</t>
        </is>
      </c>
      <c r="D29" s="4" t="inlineStr">
        <is>
          <t>Shock and lightning safety</t>
        </is>
      </c>
    </row>
    <row r="30">
      <c r="A30" s="4" t="inlineStr">
        <is>
          <t>Electrical</t>
        </is>
      </c>
      <c r="B30" s="4" t="inlineStr">
        <is>
          <t>Backup</t>
        </is>
      </c>
      <c r="C30" s="4" t="inlineStr">
        <is>
          <t>Inverter circuit to lights, fans, office sockets and router; conduit from roof to DB for future solar PV</t>
        </is>
      </c>
      <c r="D30" s="4" t="inlineStr">
        <is>
          <t>Power cuts during work-from-home</t>
        </is>
      </c>
    </row>
    <row r="31">
      <c r="A31" s="4" t="inlineStr">
        <is>
          <t>Electrical</t>
        </is>
      </c>
      <c r="B31" s="4" t="inlineStr">
        <is>
          <t>AC provisions</t>
        </is>
      </c>
      <c r="C31" s="4" t="inlineStr">
        <is>
          <t>16 A socket at 7 ft, 65 mm sleeve through wall, drain pipe to outside, ODU brackets on shaded walls</t>
        </is>
      </c>
      <c r="D31" s="4" t="inlineStr">
        <is>
          <t>Retrofitting later means breaking walls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0" customWidth="1" min="3" max="3"/>
    <col width="8" customWidth="1" min="4" max="4"/>
    <col width="46" customWidth="1" min="5" max="5"/>
    <col width="14" customWidth="1" min="6" max="6"/>
    <col width="16" customWidth="1" min="7" max="7"/>
  </cols>
  <sheetData>
    <row r="1" ht="30" customHeight="1">
      <c r="A1" s="3" t="inlineStr">
        <is>
          <t>Group</t>
        </is>
      </c>
      <c r="B1" s="3" t="inlineStr">
        <is>
          <t>Item</t>
        </is>
      </c>
      <c r="C1" s="3" t="inlineStr">
        <is>
          <t>Qty</t>
        </is>
      </c>
      <c r="D1" s="3" t="inlineStr">
        <is>
          <t>Unit</t>
        </is>
      </c>
      <c r="E1" s="3" t="inlineStr">
        <is>
          <t>Basis</t>
        </is>
      </c>
      <c r="F1" s="3" t="inlineStr">
        <is>
          <t>Rate (Rs / unit)</t>
        </is>
      </c>
      <c r="G1" s="3" t="inlineStr">
        <is>
          <t>Amount (Rs)</t>
        </is>
      </c>
    </row>
    <row r="2">
      <c r="A2" s="4" t="inlineStr">
        <is>
          <t>Walls</t>
        </is>
      </c>
      <c r="B2" s="4" t="inlineStr">
        <is>
          <t>AAC blocks, 200 mm outer walls</t>
        </is>
      </c>
      <c r="C2" s="4" t="n">
        <v>20.04</v>
      </c>
      <c r="D2" s="4" t="inlineStr">
        <is>
          <t>cu m</t>
        </is>
      </c>
      <c r="E2" s="4" t="inlineStr">
        <is>
          <t>Net of openings, FFL to beam soffit</t>
        </is>
      </c>
      <c r="F2" s="10" t="n"/>
      <c r="G2" s="11">
        <f>IF(F2="","",C2*F2)</f>
        <v/>
      </c>
    </row>
    <row r="3">
      <c r="A3" s="4" t="inlineStr">
        <is>
          <t>Walls</t>
        </is>
      </c>
      <c r="B3" s="4" t="inlineStr">
        <is>
          <t>AAC blocks, 150 mm wet walls</t>
        </is>
      </c>
      <c r="C3" s="4" t="n">
        <v>2.25</v>
      </c>
      <c r="D3" s="4" t="inlineStr">
        <is>
          <t>cu m</t>
        </is>
      </c>
      <c r="E3" s="4" t="inlineStr">
        <is>
          <t>Net of openings, FFL to beam soffit</t>
        </is>
      </c>
      <c r="F3" s="10" t="n"/>
      <c r="G3" s="11">
        <f>IF(F3="","",C3*F3)</f>
        <v/>
      </c>
    </row>
    <row r="4">
      <c r="A4" s="4" t="inlineStr">
        <is>
          <t>Walls</t>
        </is>
      </c>
      <c r="B4" s="4" t="inlineStr">
        <is>
          <t>AAC blocks, 100 mm inner walls</t>
        </is>
      </c>
      <c r="C4" s="4" t="n">
        <v>9.58</v>
      </c>
      <c r="D4" s="4" t="inlineStr">
        <is>
          <t>cu m</t>
        </is>
      </c>
      <c r="E4" s="4" t="inlineStr">
        <is>
          <t>Net of openings, FFL to beam soffit</t>
        </is>
      </c>
      <c r="F4" s="10" t="n"/>
      <c r="G4" s="11">
        <f>IF(F4="","",C4*F4)</f>
        <v/>
      </c>
    </row>
    <row r="5">
      <c r="A5" s="4" t="inlineStr">
        <is>
          <t>Frame</t>
        </is>
      </c>
      <c r="B5" s="4" t="inlineStr">
        <is>
          <t>Plinth beam / lintel band / ring beam (each, running length)</t>
        </is>
      </c>
      <c r="C5" s="4" t="n">
        <v>96.90000000000001</v>
      </c>
      <c r="D5" s="4" t="inlineStr">
        <is>
          <t>m</t>
        </is>
      </c>
      <c r="E5" s="4" t="inlineStr">
        <is>
          <t>Along all walls; sizes by engineer</t>
        </is>
      </c>
      <c r="F5" s="10" t="n"/>
      <c r="G5" s="11">
        <f>IF(F5="","",C5*F5)</f>
        <v/>
      </c>
    </row>
    <row r="6">
      <c r="A6" s="4" t="inlineStr">
        <is>
          <t>Walls</t>
        </is>
      </c>
      <c r="B6" s="4" t="inlineStr">
        <is>
          <t>Internal plaster</t>
        </is>
      </c>
      <c r="C6" s="4" t="n">
        <v>322</v>
      </c>
      <c r="D6" s="4" t="inlineStr">
        <is>
          <t>sq m</t>
        </is>
      </c>
      <c r="E6" s="4" t="inlineStr">
        <is>
          <t>Both faces of inner walls, inner face of outer walls</t>
        </is>
      </c>
      <c r="F6" s="10" t="n"/>
      <c r="G6" s="11">
        <f>IF(F6="","",C6*F6)</f>
        <v/>
      </c>
    </row>
    <row r="7">
      <c r="A7" s="4" t="inlineStr">
        <is>
          <t>Walls</t>
        </is>
      </c>
      <c r="B7" s="4" t="inlineStr">
        <is>
          <t>External plaster (waterproof)</t>
        </is>
      </c>
      <c r="C7" s="4" t="n">
        <v>129.4</v>
      </c>
      <c r="D7" s="4" t="inlineStr">
        <is>
          <t>sq m</t>
        </is>
      </c>
      <c r="E7" s="4" t="inlineStr">
        <is>
          <t>Outer walls + plinth face</t>
        </is>
      </c>
      <c r="F7" s="10" t="n"/>
      <c r="G7" s="11">
        <f>IF(F7="","",C7*F7)</f>
        <v/>
      </c>
    </row>
    <row r="8">
      <c r="A8" s="4" t="inlineStr">
        <is>
          <t>Floors</t>
        </is>
      </c>
      <c r="B8" s="4" t="inlineStr">
        <is>
          <t>Matt vitrified 2x2</t>
        </is>
      </c>
      <c r="C8" s="4" t="n">
        <v>44.1</v>
      </c>
      <c r="D8" s="4" t="inlineStr">
        <is>
          <t>sq m</t>
        </is>
      </c>
      <c r="E8" s="4" t="inlineStr">
        <is>
          <t>Clear room areas; add 5-8% wastage</t>
        </is>
      </c>
      <c r="F8" s="10" t="n"/>
      <c r="G8" s="11">
        <f>IF(F8="","",C8*F8)</f>
        <v/>
      </c>
    </row>
    <row r="9">
      <c r="A9" s="4" t="inlineStr">
        <is>
          <t>Floors</t>
        </is>
      </c>
      <c r="B9" s="4" t="inlineStr">
        <is>
          <t>Anti-skid ceramic, waterproofed</t>
        </is>
      </c>
      <c r="C9" s="4" t="n">
        <v>7.8</v>
      </c>
      <c r="D9" s="4" t="inlineStr">
        <is>
          <t>sq m</t>
        </is>
      </c>
      <c r="E9" s="4" t="inlineStr">
        <is>
          <t>Clear room areas; add 5-8% wastage</t>
        </is>
      </c>
      <c r="F9" s="10" t="n"/>
      <c r="G9" s="11">
        <f>IF(F9="","",C9*F9)</f>
        <v/>
      </c>
    </row>
    <row r="10">
      <c r="A10" s="4" t="inlineStr">
        <is>
          <t>Floors</t>
        </is>
      </c>
      <c r="B10" s="4" t="inlineStr">
        <is>
          <t>Red oxide / Kota stone</t>
        </is>
      </c>
      <c r="C10" s="4" t="n">
        <v>22.4</v>
      </c>
      <c r="D10" s="4" t="inlineStr">
        <is>
          <t>sq m</t>
        </is>
      </c>
      <c r="E10" s="4" t="inlineStr">
        <is>
          <t>Clear room areas; add 5-8% wastage</t>
        </is>
      </c>
      <c r="F10" s="10" t="n"/>
      <c r="G10" s="11">
        <f>IF(F10="","",C10*F10)</f>
        <v/>
      </c>
    </row>
    <row r="11">
      <c r="A11" s="4" t="inlineStr">
        <is>
          <t>Floors</t>
        </is>
      </c>
      <c r="B11" s="4" t="inlineStr">
        <is>
          <t>Marble / teak (pooja)</t>
        </is>
      </c>
      <c r="C11" s="4" t="n">
        <v>4.3</v>
      </c>
      <c r="D11" s="4" t="inlineStr">
        <is>
          <t>sq m</t>
        </is>
      </c>
      <c r="E11" s="4" t="inlineStr">
        <is>
          <t>Clear room areas; add 5-8% wastage</t>
        </is>
      </c>
      <c r="F11" s="10" t="n"/>
      <c r="G11" s="11">
        <f>IF(F11="","",C11*F11)</f>
        <v/>
      </c>
    </row>
    <row r="12">
      <c r="A12" s="4" t="inlineStr">
        <is>
          <t>Floors</t>
        </is>
      </c>
      <c r="B12" s="4" t="inlineStr">
        <is>
          <t>Rough Cuddapah / Kota, falls</t>
        </is>
      </c>
      <c r="C12" s="4" t="n">
        <v>6.4</v>
      </c>
      <c r="D12" s="4" t="inlineStr">
        <is>
          <t>sq m</t>
        </is>
      </c>
      <c r="E12" s="4" t="inlineStr">
        <is>
          <t>Clear room areas; add 5-8% wastage</t>
        </is>
      </c>
      <c r="F12" s="10" t="n"/>
      <c r="G12" s="11">
        <f>IF(F12="","",C12*F12)</f>
        <v/>
      </c>
    </row>
    <row r="13">
      <c r="A13" s="4" t="inlineStr">
        <is>
          <t>Floors</t>
        </is>
      </c>
      <c r="B13" s="4" t="inlineStr">
        <is>
          <t>Anti-skid matt vitrified</t>
        </is>
      </c>
      <c r="C13" s="4" t="n">
        <v>8.1</v>
      </c>
      <c r="D13" s="4" t="inlineStr">
        <is>
          <t>sq m</t>
        </is>
      </c>
      <c r="E13" s="4" t="inlineStr">
        <is>
          <t>Clear room areas; add 5-8% wastage</t>
        </is>
      </c>
      <c r="F13" s="10" t="n"/>
      <c r="G13" s="11">
        <f>IF(F13="","",C13*F13)</f>
        <v/>
      </c>
    </row>
    <row r="14">
      <c r="A14" s="4" t="inlineStr">
        <is>
          <t>Floors</t>
        </is>
      </c>
      <c r="B14" s="4" t="inlineStr">
        <is>
          <t>Flamed granite</t>
        </is>
      </c>
      <c r="C14" s="4" t="n">
        <v>6.1</v>
      </c>
      <c r="D14" s="4" t="inlineStr">
        <is>
          <t>sq m</t>
        </is>
      </c>
      <c r="E14" s="4" t="inlineStr">
        <is>
          <t>Clear room areas; add 5-8% wastage</t>
        </is>
      </c>
      <c r="F14" s="10" t="n"/>
      <c r="G14" s="11">
        <f>IF(F14="","",C14*F14)</f>
        <v/>
      </c>
    </row>
    <row r="15">
      <c r="A15" s="4" t="inlineStr">
        <is>
          <t>Floors</t>
        </is>
      </c>
      <c r="B15" s="4" t="inlineStr">
        <is>
          <t>Flush skirting, 4 in</t>
        </is>
      </c>
      <c r="C15" s="4" t="n">
        <v>122.4</v>
      </c>
      <c r="D15" s="4" t="inlineStr">
        <is>
          <t>m</t>
        </is>
      </c>
      <c r="E15" s="4" t="inlineStr">
        <is>
          <t>Room perimeters (dry rooms), doors not deducted</t>
        </is>
      </c>
      <c r="F15" s="10" t="n"/>
      <c r="G15" s="11">
        <f>IF(F15="","",C15*F15)</f>
        <v/>
      </c>
    </row>
    <row r="16">
      <c r="A16" s="4" t="inlineStr">
        <is>
          <t>Wet rooms</t>
        </is>
      </c>
      <c r="B16" s="4" t="inlineStr">
        <is>
          <t>Wall tiles to 7 ft, Ensuite</t>
        </is>
      </c>
      <c r="C16" s="4" t="n">
        <v>15.6</v>
      </c>
      <c r="D16" s="4" t="inlineStr">
        <is>
          <t>sq m</t>
        </is>
      </c>
      <c r="E16" s="4" t="inlineStr">
        <is>
          <t>Full height in the shower adds ~2 sq m</t>
        </is>
      </c>
      <c r="F16" s="10" t="n"/>
      <c r="G16" s="11">
        <f>IF(F16="","",C16*F16)</f>
        <v/>
      </c>
    </row>
    <row r="17">
      <c r="A17" s="4" t="inlineStr">
        <is>
          <t>Wet rooms</t>
        </is>
      </c>
      <c r="B17" s="4" t="inlineStr">
        <is>
          <t>Waterproofing, Ensuite</t>
        </is>
      </c>
      <c r="C17" s="4" t="n">
        <v>9.800000000000001</v>
      </c>
      <c r="D17" s="4" t="inlineStr">
        <is>
          <t>sq m</t>
        </is>
      </c>
      <c r="E17" s="4" t="inlineStr">
        <is>
          <t>Floor + 12 in upturn + shower walls to 7 ft</t>
        </is>
      </c>
      <c r="F17" s="10" t="n"/>
      <c r="G17" s="11">
        <f>IF(F17="","",C17*F17)</f>
        <v/>
      </c>
    </row>
    <row r="18">
      <c r="A18" s="4" t="inlineStr">
        <is>
          <t>Wet rooms</t>
        </is>
      </c>
      <c r="B18" s="4" t="inlineStr">
        <is>
          <t>Wall tiles to 7 ft, Bath 2</t>
        </is>
      </c>
      <c r="C18" s="4" t="n">
        <v>15.1</v>
      </c>
      <c r="D18" s="4" t="inlineStr">
        <is>
          <t>sq m</t>
        </is>
      </c>
      <c r="E18" s="4" t="inlineStr">
        <is>
          <t>Full height in the shower adds ~2 sq m</t>
        </is>
      </c>
      <c r="F18" s="10" t="n"/>
      <c r="G18" s="11">
        <f>IF(F18="","",C18*F18)</f>
        <v/>
      </c>
    </row>
    <row r="19">
      <c r="A19" s="4" t="inlineStr">
        <is>
          <t>Wet rooms</t>
        </is>
      </c>
      <c r="B19" s="4" t="inlineStr">
        <is>
          <t>Waterproofing, Bath 2</t>
        </is>
      </c>
      <c r="C19" s="4" t="n">
        <v>9.5</v>
      </c>
      <c r="D19" s="4" t="inlineStr">
        <is>
          <t>sq m</t>
        </is>
      </c>
      <c r="E19" s="4" t="inlineStr">
        <is>
          <t>Floor + 12 in upturn + shower walls to 7 ft</t>
        </is>
      </c>
      <c r="F19" s="10" t="n"/>
      <c r="G19" s="11">
        <f>IF(F19="","",C19*F19)</f>
        <v/>
      </c>
    </row>
    <row r="20">
      <c r="A20" s="4" t="inlineStr">
        <is>
          <t>Kitchen</t>
        </is>
      </c>
      <c r="B20" s="4" t="inlineStr">
        <is>
          <t>Granite counter, 2 ft deep</t>
        </is>
      </c>
      <c r="C20" s="4" t="n">
        <v>4.9</v>
      </c>
      <c r="D20" s="4" t="inlineStr">
        <is>
          <t>m</t>
        </is>
      </c>
      <c r="E20" s="4" t="inlineStr">
        <is>
          <t>South and east runs (F34, F35)</t>
        </is>
      </c>
      <c r="F20" s="10" t="n"/>
      <c r="G20" s="11">
        <f>IF(F20="","",C20*F20)</f>
        <v/>
      </c>
    </row>
    <row r="21">
      <c r="A21" s="4" t="inlineStr">
        <is>
          <t>Kitchen</t>
        </is>
      </c>
      <c r="B21" s="4" t="inlineStr">
        <is>
          <t>Dado between counter and wall cabinets</t>
        </is>
      </c>
      <c r="C21" s="4" t="n">
        <v>3</v>
      </c>
      <c r="D21" s="4" t="inlineStr">
        <is>
          <t>sq m</t>
        </is>
      </c>
      <c r="E21" s="4" t="inlineStr">
        <is>
          <t>2 ft high</t>
        </is>
      </c>
      <c r="F21" s="10" t="n"/>
      <c r="G21" s="11">
        <f>IF(F21="","",C21*F21)</f>
        <v/>
      </c>
    </row>
    <row r="22">
      <c r="A22" s="4" t="inlineStr">
        <is>
          <t>Roof</t>
        </is>
      </c>
      <c r="B22" s="4" t="inlineStr">
        <is>
          <t>Sloped roof area (tiles, deck, insulation, membrane)</t>
        </is>
      </c>
      <c r="C22" s="4" t="n">
        <v>173.8</v>
      </c>
      <c r="D22" s="4" t="inlineStr">
        <is>
          <t>sq m</t>
        </is>
      </c>
      <c r="E22" s="4" t="inlineStr">
        <is>
          <t>Hip outline / cos 30 deg; add ~8% for gable and laps</t>
        </is>
      </c>
      <c r="F22" s="10" t="n"/>
      <c r="G22" s="11">
        <f>IF(F22="","",C22*F22)</f>
        <v/>
      </c>
    </row>
    <row r="23">
      <c r="A23" s="4" t="inlineStr">
        <is>
          <t>Roof</t>
        </is>
      </c>
      <c r="B23" s="4" t="inlineStr">
        <is>
          <t>Gutters</t>
        </is>
      </c>
      <c r="C23" s="4" t="n">
        <v>36.6</v>
      </c>
      <c r="D23" s="4" t="inlineStr">
        <is>
          <t>m</t>
        </is>
      </c>
      <c r="E23" s="4" t="inlineStr">
        <is>
          <t>Both long eaves</t>
        </is>
      </c>
      <c r="F23" s="10" t="n"/>
      <c r="G23" s="11">
        <f>IF(F23="","",C23*F23)</f>
        <v/>
      </c>
    </row>
    <row r="24">
      <c r="A24" s="4" t="inlineStr">
        <is>
          <t>Roof</t>
        </is>
      </c>
      <c r="B24" s="4" t="inlineStr">
        <is>
          <t>Downpipes, 100 mm</t>
        </is>
      </c>
      <c r="C24" s="4" t="n">
        <v>8</v>
      </c>
      <c r="D24" s="4" t="inlineStr">
        <is>
          <t>no.</t>
        </is>
      </c>
      <c r="E24" s="4" t="inlineStr">
        <is>
          <t>About 12 ft each</t>
        </is>
      </c>
      <c r="F24" s="10" t="n"/>
      <c r="G24" s="11">
        <f>IF(F24="","",C24*F24)</f>
        <v/>
      </c>
    </row>
    <row r="25">
      <c r="A25" s="4" t="inlineStr">
        <is>
          <t>Roof</t>
        </is>
      </c>
      <c r="B25" s="4" t="inlineStr">
        <is>
          <t>Ridge and hip tiles</t>
        </is>
      </c>
      <c r="C25" s="4" t="n">
        <v>33.3</v>
      </c>
      <c r="D25" s="4" t="inlineStr">
        <is>
          <t>m</t>
        </is>
      </c>
      <c r="E25" s="4" t="inlineStr">
        <is>
          <t>Approximate</t>
        </is>
      </c>
      <c r="F25" s="10" t="n"/>
      <c r="G25" s="11">
        <f>IF(F25="","",C25*F25)</f>
        <v/>
      </c>
    </row>
    <row r="26">
      <c r="A26" s="4" t="inlineStr">
        <is>
          <t>Site</t>
        </is>
      </c>
      <c r="B26" s="4" t="inlineStr">
        <is>
          <t>Plinth protection apron, 3 ft wide</t>
        </is>
      </c>
      <c r="C26" s="4" t="n">
        <v>47.1</v>
      </c>
      <c r="D26" s="4" t="inlineStr">
        <is>
          <t>sq m</t>
        </is>
      </c>
      <c r="E26" s="4" t="inlineStr">
        <is>
          <t>PCC with slope away</t>
        </is>
      </c>
      <c r="F26" s="10" t="n"/>
      <c r="G26" s="11">
        <f>IF(F26="","",C26*F26)</f>
        <v/>
      </c>
    </row>
    <row r="27">
      <c r="A27" s="4" t="inlineStr">
        <is>
          <t>Openings</t>
        </is>
      </c>
      <c r="B27" s="4" t="inlineStr">
        <is>
          <t>Doors</t>
        </is>
      </c>
      <c r="C27" s="4" t="n">
        <v>12</v>
      </c>
      <c r="D27" s="4" t="inlineStr">
        <is>
          <t>no.</t>
        </is>
      </c>
      <c r="E27" s="4" t="inlineStr">
        <is>
          <t>See Doors tab</t>
        </is>
      </c>
      <c r="F27" s="10" t="n"/>
      <c r="G27" s="11">
        <f>IF(F27="","",C27*F27)</f>
        <v/>
      </c>
    </row>
    <row r="28">
      <c r="A28" s="4" t="inlineStr">
        <is>
          <t>Openings</t>
        </is>
      </c>
      <c r="B28" s="4" t="inlineStr">
        <is>
          <t>Windows and vents</t>
        </is>
      </c>
      <c r="C28" s="4" t="n">
        <v>15</v>
      </c>
      <c r="D28" s="4" t="inlineStr">
        <is>
          <t>no.</t>
        </is>
      </c>
      <c r="E28" s="4" t="inlineStr">
        <is>
          <t>See Windows tab</t>
        </is>
      </c>
      <c r="F28" s="10" t="n"/>
      <c r="G28" s="11">
        <f>IF(F28="","",C28*F28)</f>
        <v/>
      </c>
    </row>
    <row r="29">
      <c r="A29" s="4" t="inlineStr">
        <is>
          <t>Openings</t>
        </is>
      </c>
      <c r="B29" s="4" t="inlineStr">
        <is>
          <t>Window area (for mesh and grills)</t>
        </is>
      </c>
      <c r="C29" s="4" t="n">
        <v>24.9</v>
      </c>
      <c r="D29" s="4" t="inlineStr">
        <is>
          <t>sq m</t>
        </is>
      </c>
      <c r="E29" s="4" t="inlineStr"/>
      <c r="F29" s="10" t="n"/>
      <c r="G29" s="11">
        <f>IF(F29="","",C29*F29)</f>
        <v/>
      </c>
    </row>
    <row r="30">
      <c r="A30" s="6" t="inlineStr"/>
      <c r="B30" s="6" t="inlineStr">
        <is>
          <t>Total of priced items</t>
        </is>
      </c>
      <c r="C30" s="6" t="inlineStr"/>
      <c r="D30" s="6" t="inlineStr"/>
      <c r="E30" s="6" t="inlineStr"/>
      <c r="F30" s="12" t="inlineStr"/>
      <c r="G30" s="12">
        <f>SUM(G2:G29)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22" customWidth="1" min="4" max="4"/>
    <col width="8" customWidth="1" min="5" max="5"/>
    <col width="8" customWidth="1" min="6" max="6"/>
    <col width="40" customWidth="1" min="7" max="7"/>
  </cols>
  <sheetData>
    <row r="1" ht="30" customHeight="1">
      <c r="A1" s="3" t="inlineStr">
        <is>
          <t>Code</t>
        </is>
      </c>
      <c r="B1" s="3" t="inlineStr">
        <is>
          <t>Item</t>
        </is>
      </c>
      <c r="C1" s="3" t="inlineStr">
        <is>
          <t>Mounting height</t>
        </is>
      </c>
      <c r="D1" s="3" t="inlineStr">
        <is>
          <t>Room</t>
        </is>
      </c>
      <c r="E1" s="3" t="inlineStr">
        <is>
          <t>X (ft)</t>
        </is>
      </c>
      <c r="F1" s="3" t="inlineStr">
        <is>
          <t>Y (ft)</t>
        </is>
      </c>
      <c r="G1" s="3" t="inlineStr">
        <is>
          <t>Note</t>
        </is>
      </c>
    </row>
    <row r="2">
      <c r="A2" s="4" t="inlineStr">
        <is>
          <t>F</t>
        </is>
      </c>
      <c r="B2" s="4" t="inlineStr">
        <is>
          <t>Ceiling fan point</t>
        </is>
      </c>
      <c r="C2" s="4" t="inlineStr">
        <is>
          <t>ceiling</t>
        </is>
      </c>
      <c r="D2" s="4" t="inlineStr">
        <is>
          <t>Office 2</t>
        </is>
      </c>
      <c r="E2" s="4" t="n">
        <v>9.5</v>
      </c>
      <c r="F2" s="4" t="n">
        <v>7</v>
      </c>
      <c r="G2" s="4" t="inlineStr"/>
    </row>
    <row r="3">
      <c r="A3" s="4" t="inlineStr">
        <is>
          <t>L</t>
        </is>
      </c>
      <c r="B3" s="4" t="inlineStr">
        <is>
          <t>Ceiling light</t>
        </is>
      </c>
      <c r="C3" s="4" t="inlineStr">
        <is>
          <t>ceiling</t>
        </is>
      </c>
      <c r="D3" s="4" t="inlineStr">
        <is>
          <t>Office 2</t>
        </is>
      </c>
      <c r="E3" s="4" t="n">
        <v>9.5</v>
      </c>
      <c r="F3" s="4" t="n">
        <v>9.5</v>
      </c>
      <c r="G3" s="4" t="inlineStr"/>
    </row>
    <row r="4">
      <c r="A4" s="4" t="inlineStr">
        <is>
          <t>L</t>
        </is>
      </c>
      <c r="B4" s="4" t="inlineStr">
        <is>
          <t>Ceiling light</t>
        </is>
      </c>
      <c r="C4" s="4" t="inlineStr">
        <is>
          <t>ceiling</t>
        </is>
      </c>
      <c r="D4" s="4" t="inlineStr">
        <is>
          <t>Office 2</t>
        </is>
      </c>
      <c r="E4" s="4" t="n">
        <v>9.5</v>
      </c>
      <c r="F4" s="4" t="n">
        <v>4.5</v>
      </c>
      <c r="G4" s="4" t="inlineStr"/>
    </row>
    <row r="5">
      <c r="A5" s="4" t="inlineStr">
        <is>
          <t>S</t>
        </is>
      </c>
      <c r="B5" s="4" t="inlineStr">
        <is>
          <t>Switchboard</t>
        </is>
      </c>
      <c r="C5" s="4" t="inlineStr">
        <is>
          <t>4'-0"</t>
        </is>
      </c>
      <c r="D5" s="4" t="inlineStr">
        <is>
          <t>Office 2</t>
        </is>
      </c>
      <c r="E5" s="4" t="n">
        <v>7.4</v>
      </c>
      <c r="F5" s="4" t="n">
        <v>10.6</v>
      </c>
      <c r="G5" s="4" t="inlineStr">
        <is>
          <t>by sliding door</t>
        </is>
      </c>
    </row>
    <row r="6">
      <c r="A6" s="4" t="inlineStr">
        <is>
          <t>U</t>
        </is>
      </c>
      <c r="B6" s="4" t="inlineStr">
        <is>
          <t>Inverter (UPS) socket</t>
        </is>
      </c>
      <c r="C6" s="4" t="inlineStr">
        <is>
          <t>1'-0"</t>
        </is>
      </c>
      <c r="D6" s="4" t="inlineStr">
        <is>
          <t>Office 2</t>
        </is>
      </c>
      <c r="E6" s="4" t="n">
        <v>13.6</v>
      </c>
      <c r="F6" s="4" t="n">
        <v>5</v>
      </c>
      <c r="G6" s="4" t="inlineStr">
        <is>
          <t>desk</t>
        </is>
      </c>
    </row>
    <row r="7">
      <c r="A7" s="4" t="inlineStr">
        <is>
          <t>D</t>
        </is>
      </c>
      <c r="B7" s="4" t="inlineStr">
        <is>
          <t>Data point (Cat6)</t>
        </is>
      </c>
      <c r="C7" s="4" t="inlineStr">
        <is>
          <t>1'-0"</t>
        </is>
      </c>
      <c r="D7" s="4" t="inlineStr">
        <is>
          <t>Office 2</t>
        </is>
      </c>
      <c r="E7" s="4" t="n">
        <v>13.6</v>
      </c>
      <c r="F7" s="4" t="n">
        <v>6</v>
      </c>
      <c r="G7" s="4" t="inlineStr">
        <is>
          <t>desk</t>
        </is>
      </c>
    </row>
    <row r="8">
      <c r="A8" s="4" t="inlineStr">
        <is>
          <t>P</t>
        </is>
      </c>
      <c r="B8" s="4" t="inlineStr">
        <is>
          <t>6 A socket</t>
        </is>
      </c>
      <c r="C8" s="4" t="inlineStr">
        <is>
          <t>1'-0"</t>
        </is>
      </c>
      <c r="D8" s="4" t="inlineStr">
        <is>
          <t>Office 2</t>
        </is>
      </c>
      <c r="E8" s="4" t="n">
        <v>13.6</v>
      </c>
      <c r="F8" s="4" t="n">
        <v>8</v>
      </c>
      <c r="G8" s="4" t="inlineStr">
        <is>
          <t>desk</t>
        </is>
      </c>
    </row>
    <row r="9">
      <c r="A9" s="4" t="inlineStr">
        <is>
          <t>AC</t>
        </is>
      </c>
      <c r="B9" s="4" t="inlineStr">
        <is>
          <t>AC indoor unit (16 A socket, sleeve, drain)</t>
        </is>
      </c>
      <c r="C9" s="4" t="inlineStr">
        <is>
          <t>7'-6"</t>
        </is>
      </c>
      <c r="D9" s="4" t="inlineStr">
        <is>
          <t>Office 2</t>
        </is>
      </c>
      <c r="E9" s="4" t="n">
        <v>6.5</v>
      </c>
      <c r="F9" s="4" t="n">
        <v>10.6</v>
      </c>
      <c r="G9" s="4" t="inlineStr">
        <is>
          <t>throws south, not at the desk</t>
        </is>
      </c>
    </row>
    <row r="10">
      <c r="A10" s="4" t="inlineStr">
        <is>
          <t>ODU</t>
        </is>
      </c>
      <c r="B10" s="4" t="inlineStr">
        <is>
          <t>AC outdoor unit bracket</t>
        </is>
      </c>
      <c r="C10" s="4" t="inlineStr">
        <is>
          <t>7'-0" outside</t>
        </is>
      </c>
      <c r="D10" s="4" t="inlineStr">
        <is>
          <t>Office 2</t>
        </is>
      </c>
      <c r="E10" s="4" t="n">
        <v>4.2</v>
      </c>
      <c r="F10" s="4" t="n">
        <v>6.5</v>
      </c>
      <c r="G10" s="4" t="inlineStr">
        <is>
          <t>west wall, high</t>
        </is>
      </c>
    </row>
    <row r="11">
      <c r="A11" s="4" t="inlineStr">
        <is>
          <t>L</t>
        </is>
      </c>
      <c r="B11" s="4" t="inlineStr">
        <is>
          <t>Ceiling light</t>
        </is>
      </c>
      <c r="C11" s="4" t="inlineStr">
        <is>
          <t>ceiling</t>
        </is>
      </c>
      <c r="D11" s="4" t="inlineStr">
        <is>
          <t>Walk-in wardrobe</t>
        </is>
      </c>
      <c r="E11" s="4" t="n">
        <v>17.5</v>
      </c>
      <c r="F11" s="4" t="n">
        <v>7</v>
      </c>
      <c r="G11" s="4" t="inlineStr"/>
    </row>
    <row r="12">
      <c r="A12" s="4" t="inlineStr">
        <is>
          <t>S</t>
        </is>
      </c>
      <c r="B12" s="4" t="inlineStr">
        <is>
          <t>Switchboard</t>
        </is>
      </c>
      <c r="C12" s="4" t="inlineStr">
        <is>
          <t>4'-0"</t>
        </is>
      </c>
      <c r="D12" s="4" t="inlineStr">
        <is>
          <t>Walk-in wardrobe</t>
        </is>
      </c>
      <c r="E12" s="4" t="n">
        <v>19.6</v>
      </c>
      <c r="F12" s="4" t="n">
        <v>10.6</v>
      </c>
      <c r="G12" s="4" t="inlineStr"/>
    </row>
    <row r="13">
      <c r="A13" s="4" t="inlineStr">
        <is>
          <t>P</t>
        </is>
      </c>
      <c r="B13" s="4" t="inlineStr">
        <is>
          <t>6 A socket</t>
        </is>
      </c>
      <c r="C13" s="4" t="inlineStr">
        <is>
          <t>1'-0"</t>
        </is>
      </c>
      <c r="D13" s="4" t="inlineStr">
        <is>
          <t>Walk-in wardrobe</t>
        </is>
      </c>
      <c r="E13" s="4" t="n">
        <v>14.5</v>
      </c>
      <c r="F13" s="4" t="n">
        <v>10.6</v>
      </c>
      <c r="G13" s="4" t="inlineStr">
        <is>
          <t>iron</t>
        </is>
      </c>
    </row>
    <row r="14">
      <c r="A14" s="4" t="inlineStr">
        <is>
          <t>L</t>
        </is>
      </c>
      <c r="B14" s="4" t="inlineStr">
        <is>
          <t>Ceiling light</t>
        </is>
      </c>
      <c r="C14" s="4" t="inlineStr">
        <is>
          <t>ceiling</t>
        </is>
      </c>
      <c r="D14" s="4" t="inlineStr">
        <is>
          <t>Dressing alcove</t>
        </is>
      </c>
      <c r="E14" s="4" t="n">
        <v>8.25</v>
      </c>
      <c r="F14" s="4" t="n">
        <v>14</v>
      </c>
      <c r="G14" s="4" t="inlineStr"/>
    </row>
    <row r="15">
      <c r="A15" s="4" t="inlineStr">
        <is>
          <t>WL</t>
        </is>
      </c>
      <c r="B15" s="4" t="inlineStr">
        <is>
          <t>Wall light / mirror light</t>
        </is>
      </c>
      <c r="C15" s="4" t="inlineStr">
        <is>
          <t>6'-6"</t>
        </is>
      </c>
      <c r="D15" s="4" t="inlineStr">
        <is>
          <t>Dressing alcove</t>
        </is>
      </c>
      <c r="E15" s="4" t="n">
        <v>5.4</v>
      </c>
      <c r="F15" s="4" t="n">
        <v>14</v>
      </c>
      <c r="G15" s="4" t="inlineStr">
        <is>
          <t>mirror</t>
        </is>
      </c>
    </row>
    <row r="16">
      <c r="A16" s="4" t="inlineStr">
        <is>
          <t>P</t>
        </is>
      </c>
      <c r="B16" s="4" t="inlineStr">
        <is>
          <t>6 A socket</t>
        </is>
      </c>
      <c r="C16" s="4" t="inlineStr">
        <is>
          <t>1'-0"</t>
        </is>
      </c>
      <c r="D16" s="4" t="inlineStr">
        <is>
          <t>Dressing alcove</t>
        </is>
      </c>
      <c r="E16" s="4" t="n">
        <v>5.4</v>
      </c>
      <c r="F16" s="4" t="n">
        <v>16.4</v>
      </c>
      <c r="G16" s="4" t="inlineStr">
        <is>
          <t>hair dryer</t>
        </is>
      </c>
    </row>
    <row r="17">
      <c r="A17" s="4" t="inlineStr">
        <is>
          <t>L</t>
        </is>
      </c>
      <c r="B17" s="4" t="inlineStr">
        <is>
          <t>Ceiling light</t>
        </is>
      </c>
      <c r="C17" s="4" t="inlineStr">
        <is>
          <t>ceiling</t>
        </is>
      </c>
      <c r="D17" s="4" t="inlineStr">
        <is>
          <t>Ensuite</t>
        </is>
      </c>
      <c r="E17" s="4" t="n">
        <v>8.25</v>
      </c>
      <c r="F17" s="4" t="n">
        <v>20.5</v>
      </c>
      <c r="G17" s="4" t="inlineStr"/>
    </row>
    <row r="18">
      <c r="A18" s="4" t="inlineStr">
        <is>
          <t>EF</t>
        </is>
      </c>
      <c r="B18" s="4" t="inlineStr">
        <is>
          <t>Exhaust fan</t>
        </is>
      </c>
      <c r="C18" s="4" t="inlineStr">
        <is>
          <t>7'-0"</t>
        </is>
      </c>
      <c r="D18" s="4" t="inlineStr">
        <is>
          <t>Ensuite</t>
        </is>
      </c>
      <c r="E18" s="4" t="n">
        <v>5.4</v>
      </c>
      <c r="F18" s="4" t="n">
        <v>24</v>
      </c>
      <c r="G18" s="4" t="inlineStr">
        <is>
          <t>out through west wall</t>
        </is>
      </c>
    </row>
    <row r="19">
      <c r="A19" s="4" t="inlineStr">
        <is>
          <t>G</t>
        </is>
      </c>
      <c r="B19" s="4" t="inlineStr">
        <is>
          <t>Geyser (16 A)</t>
        </is>
      </c>
      <c r="C19" s="4" t="inlineStr">
        <is>
          <t>6'-6"</t>
        </is>
      </c>
      <c r="D19" s="4" t="inlineStr">
        <is>
          <t>Ensuite</t>
        </is>
      </c>
      <c r="E19" s="4" t="n">
        <v>8.300000000000001</v>
      </c>
      <c r="F19" s="4" t="n">
        <v>24.6</v>
      </c>
      <c r="G19" s="4" t="inlineStr">
        <is>
          <t>over shower</t>
        </is>
      </c>
    </row>
    <row r="20">
      <c r="A20" s="4" t="inlineStr">
        <is>
          <t>PC</t>
        </is>
      </c>
      <c r="B20" s="4" t="inlineStr">
        <is>
          <t>6 A socket at counter</t>
        </is>
      </c>
      <c r="C20" s="4" t="inlineStr">
        <is>
          <t>3'-6"</t>
        </is>
      </c>
      <c r="D20" s="4" t="inlineStr">
        <is>
          <t>Ensuite</t>
        </is>
      </c>
      <c r="E20" s="4" t="n">
        <v>10.9</v>
      </c>
      <c r="F20" s="4" t="n">
        <v>18.6</v>
      </c>
      <c r="G20" s="4" t="inlineStr">
        <is>
          <t>shaver, by basin</t>
        </is>
      </c>
    </row>
    <row r="21">
      <c r="A21" s="4" t="inlineStr">
        <is>
          <t>S</t>
        </is>
      </c>
      <c r="B21" s="4" t="inlineStr">
        <is>
          <t>Switchboard</t>
        </is>
      </c>
      <c r="C21" s="4" t="inlineStr">
        <is>
          <t>4'-0"</t>
        </is>
      </c>
      <c r="D21" s="4" t="inlineStr">
        <is>
          <t>Master bedroom</t>
        </is>
      </c>
      <c r="E21" s="4" t="n">
        <v>11.9</v>
      </c>
      <c r="F21" s="4" t="n">
        <v>22</v>
      </c>
      <c r="G21" s="4" t="inlineStr">
        <is>
          <t>ensuite switches outside the door</t>
        </is>
      </c>
    </row>
    <row r="22">
      <c r="A22" s="4" t="inlineStr">
        <is>
          <t>F</t>
        </is>
      </c>
      <c r="B22" s="4" t="inlineStr">
        <is>
          <t>Ceiling fan point</t>
        </is>
      </c>
      <c r="C22" s="4" t="inlineStr">
        <is>
          <t>ceiling</t>
        </is>
      </c>
      <c r="D22" s="4" t="inlineStr">
        <is>
          <t>Master bedroom</t>
        </is>
      </c>
      <c r="E22" s="4" t="n">
        <v>15.5</v>
      </c>
      <c r="F22" s="4" t="n">
        <v>18.5</v>
      </c>
      <c r="G22" s="4" t="inlineStr"/>
    </row>
    <row r="23">
      <c r="A23" s="4" t="inlineStr">
        <is>
          <t>L</t>
        </is>
      </c>
      <c r="B23" s="4" t="inlineStr">
        <is>
          <t>Ceiling light</t>
        </is>
      </c>
      <c r="C23" s="4" t="inlineStr">
        <is>
          <t>ceiling</t>
        </is>
      </c>
      <c r="D23" s="4" t="inlineStr">
        <is>
          <t>Master bedroom</t>
        </is>
      </c>
      <c r="E23" s="4" t="n">
        <v>13</v>
      </c>
      <c r="F23" s="4" t="n">
        <v>13.5</v>
      </c>
      <c r="G23" s="4" t="inlineStr"/>
    </row>
    <row r="24">
      <c r="A24" s="4" t="inlineStr">
        <is>
          <t>L</t>
        </is>
      </c>
      <c r="B24" s="4" t="inlineStr">
        <is>
          <t>Ceiling light</t>
        </is>
      </c>
      <c r="C24" s="4" t="inlineStr">
        <is>
          <t>ceiling</t>
        </is>
      </c>
      <c r="D24" s="4" t="inlineStr">
        <is>
          <t>Master bedroom</t>
        </is>
      </c>
      <c r="E24" s="4" t="n">
        <v>13</v>
      </c>
      <c r="F24" s="4" t="n">
        <v>23.5</v>
      </c>
      <c r="G24" s="4" t="inlineStr"/>
    </row>
    <row r="25">
      <c r="A25" s="4" t="inlineStr">
        <is>
          <t>S</t>
        </is>
      </c>
      <c r="B25" s="4" t="inlineStr">
        <is>
          <t>Switchboard</t>
        </is>
      </c>
      <c r="C25" s="4" t="inlineStr">
        <is>
          <t>4'-0"</t>
        </is>
      </c>
      <c r="D25" s="4" t="inlineStr">
        <is>
          <t>Master bedroom</t>
        </is>
      </c>
      <c r="E25" s="4" t="n">
        <v>20.6</v>
      </c>
      <c r="F25" s="4" t="n">
        <v>15</v>
      </c>
      <c r="G25" s="4" t="inlineStr">
        <is>
          <t>at door, 2-way</t>
        </is>
      </c>
    </row>
    <row r="26">
      <c r="A26" s="4" t="inlineStr">
        <is>
          <t>S</t>
        </is>
      </c>
      <c r="B26" s="4" t="inlineStr">
        <is>
          <t>Switchboard</t>
        </is>
      </c>
      <c r="C26" s="4" t="inlineStr">
        <is>
          <t>4'-0"</t>
        </is>
      </c>
      <c r="D26" s="4" t="inlineStr">
        <is>
          <t>Master bedroom</t>
        </is>
      </c>
      <c r="E26" s="4" t="n">
        <v>20.6</v>
      </c>
      <c r="F26" s="4" t="n">
        <v>21.6</v>
      </c>
      <c r="G26" s="4" t="inlineStr">
        <is>
          <t>bedside, 2-way</t>
        </is>
      </c>
    </row>
    <row r="27">
      <c r="A27" s="4" t="inlineStr">
        <is>
          <t>P</t>
        </is>
      </c>
      <c r="B27" s="4" t="inlineStr">
        <is>
          <t>6 A socket</t>
        </is>
      </c>
      <c r="C27" s="4" t="inlineStr">
        <is>
          <t>1'-0"</t>
        </is>
      </c>
      <c r="D27" s="4" t="inlineStr">
        <is>
          <t>Master bedroom</t>
        </is>
      </c>
      <c r="E27" s="4" t="n">
        <v>20.6</v>
      </c>
      <c r="F27" s="4" t="n">
        <v>15.4</v>
      </c>
      <c r="G27" s="4" t="inlineStr">
        <is>
          <t>bedside</t>
        </is>
      </c>
    </row>
    <row r="28">
      <c r="A28" s="4" t="inlineStr">
        <is>
          <t>P</t>
        </is>
      </c>
      <c r="B28" s="4" t="inlineStr">
        <is>
          <t>6 A socket</t>
        </is>
      </c>
      <c r="C28" s="4" t="inlineStr">
        <is>
          <t>1'-0"</t>
        </is>
      </c>
      <c r="D28" s="4" t="inlineStr">
        <is>
          <t>Master bedroom</t>
        </is>
      </c>
      <c r="E28" s="4" t="n">
        <v>20.6</v>
      </c>
      <c r="F28" s="4" t="n">
        <v>22.2</v>
      </c>
      <c r="G28" s="4" t="inlineStr">
        <is>
          <t>bedside</t>
        </is>
      </c>
    </row>
    <row r="29">
      <c r="A29" s="4" t="inlineStr">
        <is>
          <t>AC</t>
        </is>
      </c>
      <c r="B29" s="4" t="inlineStr">
        <is>
          <t>AC indoor unit (16 A socket, sleeve, drain)</t>
        </is>
      </c>
      <c r="C29" s="4" t="inlineStr">
        <is>
          <t>7'-6"</t>
        </is>
      </c>
      <c r="D29" s="4" t="inlineStr">
        <is>
          <t>Master bedroom</t>
        </is>
      </c>
      <c r="E29" s="4" t="n">
        <v>15.5</v>
      </c>
      <c r="F29" s="4" t="n">
        <v>11.4</v>
      </c>
      <c r="G29" s="4" t="inlineStr">
        <is>
          <t>on south wall, not over the bed head</t>
        </is>
      </c>
    </row>
    <row r="30">
      <c r="A30" s="4" t="inlineStr">
        <is>
          <t>ODU</t>
        </is>
      </c>
      <c r="B30" s="4" t="inlineStr">
        <is>
          <t>AC outdoor unit bracket</t>
        </is>
      </c>
      <c r="C30" s="4" t="inlineStr">
        <is>
          <t>7'-0" outside</t>
        </is>
      </c>
      <c r="D30" s="4" t="inlineStr">
        <is>
          <t>Master bedroom</t>
        </is>
      </c>
      <c r="E30" s="4" t="n">
        <v>16</v>
      </c>
      <c r="F30" s="4" t="n">
        <v>25.6</v>
      </c>
      <c r="G30" s="4" t="inlineStr">
        <is>
          <t>north wall, shaded</t>
        </is>
      </c>
    </row>
    <row r="31">
      <c r="A31" s="4" t="inlineStr">
        <is>
          <t>P</t>
        </is>
      </c>
      <c r="B31" s="4" t="inlineStr">
        <is>
          <t>6 A socket</t>
        </is>
      </c>
      <c r="C31" s="4" t="inlineStr">
        <is>
          <t>1'-0"</t>
        </is>
      </c>
      <c r="D31" s="4" t="inlineStr">
        <is>
          <t>Master bedroom</t>
        </is>
      </c>
      <c r="E31" s="4" t="n">
        <v>12.2</v>
      </c>
      <c r="F31" s="4" t="n">
        <v>24.6</v>
      </c>
      <c r="G31" s="4" t="inlineStr">
        <is>
          <t>reading chair</t>
        </is>
      </c>
    </row>
    <row r="32">
      <c r="A32" s="4" t="inlineStr">
        <is>
          <t>F</t>
        </is>
      </c>
      <c r="B32" s="4" t="inlineStr">
        <is>
          <t>Ceiling fan point</t>
        </is>
      </c>
      <c r="C32" s="4" t="inlineStr">
        <is>
          <t>ceiling</t>
        </is>
      </c>
      <c r="D32" s="4" t="inlineStr">
        <is>
          <t>Office 1</t>
        </is>
      </c>
      <c r="E32" s="4" t="n">
        <v>25.5</v>
      </c>
      <c r="F32" s="4" t="n">
        <v>7</v>
      </c>
      <c r="G32" s="4" t="inlineStr"/>
    </row>
    <row r="33">
      <c r="A33" s="4" t="inlineStr">
        <is>
          <t>L</t>
        </is>
      </c>
      <c r="B33" s="4" t="inlineStr">
        <is>
          <t>Ceiling light</t>
        </is>
      </c>
      <c r="C33" s="4" t="inlineStr">
        <is>
          <t>ceiling</t>
        </is>
      </c>
      <c r="D33" s="4" t="inlineStr">
        <is>
          <t>Office 1</t>
        </is>
      </c>
      <c r="E33" s="4" t="n">
        <v>25.5</v>
      </c>
      <c r="F33" s="4" t="n">
        <v>9.5</v>
      </c>
      <c r="G33" s="4" t="inlineStr"/>
    </row>
    <row r="34">
      <c r="A34" s="4" t="inlineStr">
        <is>
          <t>L</t>
        </is>
      </c>
      <c r="B34" s="4" t="inlineStr">
        <is>
          <t>Ceiling light</t>
        </is>
      </c>
      <c r="C34" s="4" t="inlineStr">
        <is>
          <t>ceiling</t>
        </is>
      </c>
      <c r="D34" s="4" t="inlineStr">
        <is>
          <t>Office 1</t>
        </is>
      </c>
      <c r="E34" s="4" t="n">
        <v>25.5</v>
      </c>
      <c r="F34" s="4" t="n">
        <v>4.5</v>
      </c>
      <c r="G34" s="4" t="inlineStr"/>
    </row>
    <row r="35">
      <c r="A35" s="4" t="inlineStr">
        <is>
          <t>S</t>
        </is>
      </c>
      <c r="B35" s="4" t="inlineStr">
        <is>
          <t>Switchboard</t>
        </is>
      </c>
      <c r="C35" s="4" t="inlineStr">
        <is>
          <t>4'-0"</t>
        </is>
      </c>
      <c r="D35" s="4" t="inlineStr">
        <is>
          <t>Office 1</t>
        </is>
      </c>
      <c r="E35" s="4" t="n">
        <v>28</v>
      </c>
      <c r="F35" s="4" t="n">
        <v>10.6</v>
      </c>
      <c r="G35" s="4" t="inlineStr"/>
    </row>
    <row r="36">
      <c r="A36" s="4" t="inlineStr">
        <is>
          <t>U</t>
        </is>
      </c>
      <c r="B36" s="4" t="inlineStr">
        <is>
          <t>Inverter (UPS) socket</t>
        </is>
      </c>
      <c r="C36" s="4" t="inlineStr">
        <is>
          <t>1'-0"</t>
        </is>
      </c>
      <c r="D36" s="4" t="inlineStr">
        <is>
          <t>Office 1</t>
        </is>
      </c>
      <c r="E36" s="4" t="n">
        <v>29.6</v>
      </c>
      <c r="F36" s="4" t="n">
        <v>5</v>
      </c>
      <c r="G36" s="4" t="inlineStr">
        <is>
          <t>desk</t>
        </is>
      </c>
    </row>
    <row r="37">
      <c r="A37" s="4" t="inlineStr">
        <is>
          <t>D</t>
        </is>
      </c>
      <c r="B37" s="4" t="inlineStr">
        <is>
          <t>Data point (Cat6)</t>
        </is>
      </c>
      <c r="C37" s="4" t="inlineStr">
        <is>
          <t>1'-0"</t>
        </is>
      </c>
      <c r="D37" s="4" t="inlineStr">
        <is>
          <t>Office 1</t>
        </is>
      </c>
      <c r="E37" s="4" t="n">
        <v>29.6</v>
      </c>
      <c r="F37" s="4" t="n">
        <v>6</v>
      </c>
      <c r="G37" s="4" t="inlineStr">
        <is>
          <t>desk</t>
        </is>
      </c>
    </row>
    <row r="38">
      <c r="A38" s="4" t="inlineStr">
        <is>
          <t>P</t>
        </is>
      </c>
      <c r="B38" s="4" t="inlineStr">
        <is>
          <t>6 A socket</t>
        </is>
      </c>
      <c r="C38" s="4" t="inlineStr">
        <is>
          <t>1'-0"</t>
        </is>
      </c>
      <c r="D38" s="4" t="inlineStr">
        <is>
          <t>Office 1</t>
        </is>
      </c>
      <c r="E38" s="4" t="n">
        <v>29.6</v>
      </c>
      <c r="F38" s="4" t="n">
        <v>8</v>
      </c>
      <c r="G38" s="4" t="inlineStr">
        <is>
          <t>desk</t>
        </is>
      </c>
    </row>
    <row r="39">
      <c r="A39" s="4" t="inlineStr">
        <is>
          <t>AC</t>
        </is>
      </c>
      <c r="B39" s="4" t="inlineStr">
        <is>
          <t>AC indoor unit (16 A socket, sleeve, drain)</t>
        </is>
      </c>
      <c r="C39" s="4" t="inlineStr">
        <is>
          <t>7'-6"</t>
        </is>
      </c>
      <c r="D39" s="4" t="inlineStr">
        <is>
          <t>Office 1</t>
        </is>
      </c>
      <c r="E39" s="4" t="n">
        <v>21.4</v>
      </c>
      <c r="F39" s="4" t="n">
        <v>7</v>
      </c>
      <c r="G39" s="4" t="inlineStr">
        <is>
          <t>above bookshelf</t>
        </is>
      </c>
    </row>
    <row r="40">
      <c r="A40" s="4" t="inlineStr">
        <is>
          <t>ODU</t>
        </is>
      </c>
      <c r="B40" s="4" t="inlineStr">
        <is>
          <t>AC outdoor unit bracket</t>
        </is>
      </c>
      <c r="C40" s="4" t="inlineStr">
        <is>
          <t>7'-0" outside</t>
        </is>
      </c>
      <c r="D40" s="4" t="inlineStr">
        <is>
          <t>Office 1</t>
        </is>
      </c>
      <c r="E40" s="4" t="n">
        <v>25.5</v>
      </c>
      <c r="F40" s="4" t="n">
        <v>2.4</v>
      </c>
      <c r="G40" s="4" t="inlineStr">
        <is>
          <t>south wall, high on brackets over walkway</t>
        </is>
      </c>
    </row>
    <row r="41">
      <c r="A41" s="4" t="inlineStr">
        <is>
          <t>L</t>
        </is>
      </c>
      <c r="B41" s="4" t="inlineStr">
        <is>
          <t>Ceiling light</t>
        </is>
      </c>
      <c r="C41" s="4" t="inlineStr">
        <is>
          <t>ceiling</t>
        </is>
      </c>
      <c r="D41" s="4" t="inlineStr">
        <is>
          <t>Bath 2</t>
        </is>
      </c>
      <c r="E41" s="4" t="n">
        <v>33</v>
      </c>
      <c r="F41" s="4" t="n">
        <v>8</v>
      </c>
      <c r="G41" s="4" t="inlineStr"/>
    </row>
    <row r="42">
      <c r="A42" s="4" t="inlineStr">
        <is>
          <t>EF</t>
        </is>
      </c>
      <c r="B42" s="4" t="inlineStr">
        <is>
          <t>Exhaust fan</t>
        </is>
      </c>
      <c r="C42" s="4" t="inlineStr">
        <is>
          <t>7'-0"</t>
        </is>
      </c>
      <c r="D42" s="4" t="inlineStr">
        <is>
          <t>Bath 2</t>
        </is>
      </c>
      <c r="E42" s="4" t="n">
        <v>31.5</v>
      </c>
      <c r="F42" s="4" t="n">
        <v>3.4</v>
      </c>
      <c r="G42" s="4" t="inlineStr">
        <is>
          <t>out through south wall</t>
        </is>
      </c>
    </row>
    <row r="43">
      <c r="A43" s="4" t="inlineStr">
        <is>
          <t>G</t>
        </is>
      </c>
      <c r="B43" s="4" t="inlineStr">
        <is>
          <t>Geyser (16 A)</t>
        </is>
      </c>
      <c r="C43" s="4" t="inlineStr">
        <is>
          <t>6'-6"</t>
        </is>
      </c>
      <c r="D43" s="4" t="inlineStr">
        <is>
          <t>Bath 2</t>
        </is>
      </c>
      <c r="E43" s="4" t="n">
        <v>35.6</v>
      </c>
      <c r="F43" s="4" t="n">
        <v>4.6</v>
      </c>
      <c r="G43" s="4" t="inlineStr">
        <is>
          <t>side wall of shower</t>
        </is>
      </c>
    </row>
    <row r="44">
      <c r="A44" s="4" t="inlineStr">
        <is>
          <t>PC</t>
        </is>
      </c>
      <c r="B44" s="4" t="inlineStr">
        <is>
          <t>6 A socket at counter</t>
        </is>
      </c>
      <c r="C44" s="4" t="inlineStr">
        <is>
          <t>3'-6"</t>
        </is>
      </c>
      <c r="D44" s="4" t="inlineStr">
        <is>
          <t>Bath 2</t>
        </is>
      </c>
      <c r="E44" s="4" t="n">
        <v>35.6</v>
      </c>
      <c r="F44" s="4" t="n">
        <v>10.2</v>
      </c>
      <c r="G44" s="4" t="inlineStr"/>
    </row>
    <row r="45">
      <c r="A45" s="4" t="inlineStr">
        <is>
          <t>S</t>
        </is>
      </c>
      <c r="B45" s="4" t="inlineStr">
        <is>
          <t>Switchboard</t>
        </is>
      </c>
      <c r="C45" s="4" t="inlineStr">
        <is>
          <t>4'-0"</t>
        </is>
      </c>
      <c r="D45" s="4" t="inlineStr">
        <is>
          <t>Hall</t>
        </is>
      </c>
      <c r="E45" s="4" t="n">
        <v>33.6</v>
      </c>
      <c r="F45" s="4" t="n">
        <v>11.4</v>
      </c>
      <c r="G45" s="4" t="inlineStr">
        <is>
          <t>Bath 2 switches outside</t>
        </is>
      </c>
    </row>
    <row r="46">
      <c r="A46" s="4" t="inlineStr">
        <is>
          <t>L</t>
        </is>
      </c>
      <c r="B46" s="4" t="inlineStr">
        <is>
          <t>Ceiling light</t>
        </is>
      </c>
      <c r="C46" s="4" t="inlineStr">
        <is>
          <t>ceiling</t>
        </is>
      </c>
      <c r="D46" s="4" t="inlineStr">
        <is>
          <t>Hall</t>
        </is>
      </c>
      <c r="E46" s="4" t="n">
        <v>24</v>
      </c>
      <c r="F46" s="4" t="n">
        <v>13.25</v>
      </c>
      <c r="G46" s="4" t="inlineStr"/>
    </row>
    <row r="47">
      <c r="A47" s="4" t="inlineStr">
        <is>
          <t>L</t>
        </is>
      </c>
      <c r="B47" s="4" t="inlineStr">
        <is>
          <t>Ceiling light</t>
        </is>
      </c>
      <c r="C47" s="4" t="inlineStr">
        <is>
          <t>ceiling</t>
        </is>
      </c>
      <c r="D47" s="4" t="inlineStr">
        <is>
          <t>Hall</t>
        </is>
      </c>
      <c r="E47" s="4" t="n">
        <v>30</v>
      </c>
      <c r="F47" s="4" t="n">
        <v>13.25</v>
      </c>
      <c r="G47" s="4" t="inlineStr"/>
    </row>
    <row r="48">
      <c r="A48" s="4" t="inlineStr">
        <is>
          <t>S</t>
        </is>
      </c>
      <c r="B48" s="4" t="inlineStr">
        <is>
          <t>Switchboard</t>
        </is>
      </c>
      <c r="C48" s="4" t="inlineStr">
        <is>
          <t>4'-0"</t>
        </is>
      </c>
      <c r="D48" s="4" t="inlineStr">
        <is>
          <t>Hall</t>
        </is>
      </c>
      <c r="E48" s="4" t="n">
        <v>22</v>
      </c>
      <c r="F48" s="4" t="n">
        <v>11.4</v>
      </c>
      <c r="G48" s="4" t="inlineStr">
        <is>
          <t>2-way</t>
        </is>
      </c>
    </row>
    <row r="49">
      <c r="A49" s="4" t="inlineStr">
        <is>
          <t>F</t>
        </is>
      </c>
      <c r="B49" s="4" t="inlineStr">
        <is>
          <t>Ceiling fan point</t>
        </is>
      </c>
      <c r="C49" s="4" t="inlineStr">
        <is>
          <t>ceiling</t>
        </is>
      </c>
      <c r="D49" s="4" t="inlineStr">
        <is>
          <t>Bedroom 2</t>
        </is>
      </c>
      <c r="E49" s="4" t="n">
        <v>27</v>
      </c>
      <c r="F49" s="4" t="n">
        <v>20.25</v>
      </c>
      <c r="G49" s="4" t="inlineStr"/>
    </row>
    <row r="50">
      <c r="A50" s="4" t="inlineStr">
        <is>
          <t>L</t>
        </is>
      </c>
      <c r="B50" s="4" t="inlineStr">
        <is>
          <t>Ceiling light</t>
        </is>
      </c>
      <c r="C50" s="4" t="inlineStr">
        <is>
          <t>ceiling</t>
        </is>
      </c>
      <c r="D50" s="4" t="inlineStr">
        <is>
          <t>Bedroom 2</t>
        </is>
      </c>
      <c r="E50" s="4" t="n">
        <v>24</v>
      </c>
      <c r="F50" s="4" t="n">
        <v>18.5</v>
      </c>
      <c r="G50" s="4" t="inlineStr"/>
    </row>
    <row r="51">
      <c r="A51" s="4" t="inlineStr">
        <is>
          <t>L</t>
        </is>
      </c>
      <c r="B51" s="4" t="inlineStr">
        <is>
          <t>Ceiling light</t>
        </is>
      </c>
      <c r="C51" s="4" t="inlineStr">
        <is>
          <t>ceiling</t>
        </is>
      </c>
      <c r="D51" s="4" t="inlineStr">
        <is>
          <t>Bedroom 2</t>
        </is>
      </c>
      <c r="E51" s="4" t="n">
        <v>30</v>
      </c>
      <c r="F51" s="4" t="n">
        <v>22.5</v>
      </c>
      <c r="G51" s="4" t="inlineStr"/>
    </row>
    <row r="52">
      <c r="A52" s="4" t="inlineStr">
        <is>
          <t>S</t>
        </is>
      </c>
      <c r="B52" s="4" t="inlineStr">
        <is>
          <t>Switchboard</t>
        </is>
      </c>
      <c r="C52" s="4" t="inlineStr">
        <is>
          <t>4'-0"</t>
        </is>
      </c>
      <c r="D52" s="4" t="inlineStr">
        <is>
          <t>Bedroom 2</t>
        </is>
      </c>
      <c r="E52" s="4" t="n">
        <v>32.6</v>
      </c>
      <c r="F52" s="4" t="n">
        <v>15.9</v>
      </c>
      <c r="G52" s="4" t="inlineStr">
        <is>
          <t>at door</t>
        </is>
      </c>
    </row>
    <row r="53">
      <c r="A53" s="4" t="inlineStr">
        <is>
          <t>S</t>
        </is>
      </c>
      <c r="B53" s="4" t="inlineStr">
        <is>
          <t>Switchboard</t>
        </is>
      </c>
      <c r="C53" s="4" t="inlineStr">
        <is>
          <t>4'-0"</t>
        </is>
      </c>
      <c r="D53" s="4" t="inlineStr">
        <is>
          <t>Bedroom 2</t>
        </is>
      </c>
      <c r="E53" s="4" t="n">
        <v>27.9</v>
      </c>
      <c r="F53" s="4" t="n">
        <v>15.9</v>
      </c>
      <c r="G53" s="4" t="inlineStr">
        <is>
          <t>bedside, 2-way</t>
        </is>
      </c>
    </row>
    <row r="54">
      <c r="A54" s="4" t="inlineStr">
        <is>
          <t>P</t>
        </is>
      </c>
      <c r="B54" s="4" t="inlineStr">
        <is>
          <t>6 A socket</t>
        </is>
      </c>
      <c r="C54" s="4" t="inlineStr">
        <is>
          <t>1'-0"</t>
        </is>
      </c>
      <c r="D54" s="4" t="inlineStr">
        <is>
          <t>Bedroom 2</t>
        </is>
      </c>
      <c r="E54" s="4" t="n">
        <v>28.3</v>
      </c>
      <c r="F54" s="4" t="n">
        <v>15.9</v>
      </c>
      <c r="G54" s="4" t="inlineStr">
        <is>
          <t>bedside</t>
        </is>
      </c>
    </row>
    <row r="55">
      <c r="A55" s="4" t="inlineStr">
        <is>
          <t>P</t>
        </is>
      </c>
      <c r="B55" s="4" t="inlineStr">
        <is>
          <t>6 A socket</t>
        </is>
      </c>
      <c r="C55" s="4" t="inlineStr">
        <is>
          <t>1'-0"</t>
        </is>
      </c>
      <c r="D55" s="4" t="inlineStr">
        <is>
          <t>Bedroom 2</t>
        </is>
      </c>
      <c r="E55" s="4" t="n">
        <v>21.4</v>
      </c>
      <c r="F55" s="4" t="n">
        <v>16.6</v>
      </c>
      <c r="G55" s="4" t="inlineStr">
        <is>
          <t>bedside</t>
        </is>
      </c>
    </row>
    <row r="56">
      <c r="A56" s="4" t="inlineStr">
        <is>
          <t>P</t>
        </is>
      </c>
      <c r="B56" s="4" t="inlineStr">
        <is>
          <t>6 A socket</t>
        </is>
      </c>
      <c r="C56" s="4" t="inlineStr">
        <is>
          <t>1'-0"</t>
        </is>
      </c>
      <c r="D56" s="4" t="inlineStr">
        <is>
          <t>Bedroom 2</t>
        </is>
      </c>
      <c r="E56" s="4" t="n">
        <v>30.2</v>
      </c>
      <c r="F56" s="4" t="n">
        <v>24.6</v>
      </c>
      <c r="G56" s="4" t="inlineStr">
        <is>
          <t>study desk</t>
        </is>
      </c>
    </row>
    <row r="57">
      <c r="A57" s="4" t="inlineStr">
        <is>
          <t>D</t>
        </is>
      </c>
      <c r="B57" s="4" t="inlineStr">
        <is>
          <t>Data point (Cat6)</t>
        </is>
      </c>
      <c r="C57" s="4" t="inlineStr">
        <is>
          <t>1'-0"</t>
        </is>
      </c>
      <c r="D57" s="4" t="inlineStr">
        <is>
          <t>Bedroom 2</t>
        </is>
      </c>
      <c r="E57" s="4" t="n">
        <v>28.6</v>
      </c>
      <c r="F57" s="4" t="n">
        <v>24.6</v>
      </c>
      <c r="G57" s="4" t="inlineStr">
        <is>
          <t>study desk</t>
        </is>
      </c>
    </row>
    <row r="58">
      <c r="A58" s="4" t="inlineStr">
        <is>
          <t>AC</t>
        </is>
      </c>
      <c r="B58" s="4" t="inlineStr">
        <is>
          <t>AC indoor unit (16 A socket, sleeve, drain)</t>
        </is>
      </c>
      <c r="C58" s="4" t="inlineStr">
        <is>
          <t>7'-6"</t>
        </is>
      </c>
      <c r="D58" s="4" t="inlineStr">
        <is>
          <t>Bedroom 2</t>
        </is>
      </c>
      <c r="E58" s="4" t="n">
        <v>21.4</v>
      </c>
      <c r="F58" s="4" t="n">
        <v>21</v>
      </c>
      <c r="G58" s="4" t="inlineStr">
        <is>
          <t>west wall, not over bed head</t>
        </is>
      </c>
    </row>
    <row r="59">
      <c r="A59" s="4" t="inlineStr">
        <is>
          <t>ODU</t>
        </is>
      </c>
      <c r="B59" s="4" t="inlineStr">
        <is>
          <t>AC outdoor unit bracket</t>
        </is>
      </c>
      <c r="C59" s="4" t="inlineStr">
        <is>
          <t>7'-0" outside</t>
        </is>
      </c>
      <c r="D59" s="4" t="inlineStr">
        <is>
          <t>Bedroom 2</t>
        </is>
      </c>
      <c r="E59" s="4" t="n">
        <v>22.5</v>
      </c>
      <c r="F59" s="4" t="n">
        <v>25.6</v>
      </c>
      <c r="G59" s="4" t="inlineStr">
        <is>
          <t>north wall, shaded</t>
        </is>
      </c>
    </row>
    <row r="60">
      <c r="A60" s="4" t="inlineStr">
        <is>
          <t>L</t>
        </is>
      </c>
      <c r="B60" s="4" t="inlineStr">
        <is>
          <t>Ceiling light</t>
        </is>
      </c>
      <c r="C60" s="4" t="inlineStr">
        <is>
          <t>ceiling</t>
        </is>
      </c>
      <c r="D60" s="4" t="inlineStr">
        <is>
          <t>Dining</t>
        </is>
      </c>
      <c r="E60" s="4" t="n">
        <v>37.5</v>
      </c>
      <c r="F60" s="4" t="n">
        <v>15</v>
      </c>
      <c r="G60" s="4" t="inlineStr">
        <is>
          <t>pendant</t>
        </is>
      </c>
    </row>
    <row r="61">
      <c r="A61" s="4" t="inlineStr">
        <is>
          <t>WL</t>
        </is>
      </c>
      <c r="B61" s="4" t="inlineStr">
        <is>
          <t>Wall light / mirror light</t>
        </is>
      </c>
      <c r="C61" s="4" t="inlineStr">
        <is>
          <t>6'-6"</t>
        </is>
      </c>
      <c r="D61" s="4" t="inlineStr">
        <is>
          <t>Dining</t>
        </is>
      </c>
      <c r="E61" s="4" t="n">
        <v>33.4</v>
      </c>
      <c r="F61" s="4" t="n">
        <v>15</v>
      </c>
      <c r="G61" s="4" t="inlineStr"/>
    </row>
    <row r="62">
      <c r="A62" s="4" t="inlineStr">
        <is>
          <t>P</t>
        </is>
      </c>
      <c r="B62" s="4" t="inlineStr">
        <is>
          <t>6 A socket</t>
        </is>
      </c>
      <c r="C62" s="4" t="inlineStr">
        <is>
          <t>1'-0"</t>
        </is>
      </c>
      <c r="D62" s="4" t="inlineStr">
        <is>
          <t>Dining</t>
        </is>
      </c>
      <c r="E62" s="4" t="n">
        <v>33.4</v>
      </c>
      <c r="F62" s="4" t="n">
        <v>12</v>
      </c>
      <c r="G62" s="4" t="inlineStr"/>
    </row>
    <row r="63">
      <c r="A63" s="4" t="inlineStr">
        <is>
          <t>P</t>
        </is>
      </c>
      <c r="B63" s="4" t="inlineStr">
        <is>
          <t>6 A socket</t>
        </is>
      </c>
      <c r="C63" s="4" t="inlineStr">
        <is>
          <t>1'-0"</t>
        </is>
      </c>
      <c r="D63" s="4" t="inlineStr">
        <is>
          <t>Dining</t>
        </is>
      </c>
      <c r="E63" s="4" t="n">
        <v>41.6</v>
      </c>
      <c r="F63" s="4" t="n">
        <v>12</v>
      </c>
      <c r="G63" s="4" t="inlineStr"/>
    </row>
    <row r="64">
      <c r="A64" s="4" t="inlineStr">
        <is>
          <t>S</t>
        </is>
      </c>
      <c r="B64" s="4" t="inlineStr">
        <is>
          <t>Switchboard</t>
        </is>
      </c>
      <c r="C64" s="4" t="inlineStr">
        <is>
          <t>4'-0"</t>
        </is>
      </c>
      <c r="D64" s="4" t="inlineStr">
        <is>
          <t>Dining</t>
        </is>
      </c>
      <c r="E64" s="4" t="n">
        <v>41.6</v>
      </c>
      <c r="F64" s="4" t="n">
        <v>17.8</v>
      </c>
      <c r="G64" s="4" t="inlineStr"/>
    </row>
    <row r="65">
      <c r="A65" s="4" t="inlineStr">
        <is>
          <t>L</t>
        </is>
      </c>
      <c r="B65" s="4" t="inlineStr">
        <is>
          <t>Ceiling light</t>
        </is>
      </c>
      <c r="C65" s="4" t="inlineStr">
        <is>
          <t>ceiling</t>
        </is>
      </c>
      <c r="D65" s="4" t="inlineStr">
        <is>
          <t>Pooja</t>
        </is>
      </c>
      <c r="E65" s="4" t="n">
        <v>37.5</v>
      </c>
      <c r="F65" s="4" t="n">
        <v>22</v>
      </c>
      <c r="G65" s="4" t="inlineStr"/>
    </row>
    <row r="66">
      <c r="A66" s="4" t="inlineStr">
        <is>
          <t>WL</t>
        </is>
      </c>
      <c r="B66" s="4" t="inlineStr">
        <is>
          <t>Wall light / mirror light</t>
        </is>
      </c>
      <c r="C66" s="4" t="inlineStr">
        <is>
          <t>6'-6"</t>
        </is>
      </c>
      <c r="D66" s="4" t="inlineStr">
        <is>
          <t>Pooja</t>
        </is>
      </c>
      <c r="E66" s="4" t="n">
        <v>41.6</v>
      </c>
      <c r="F66" s="4" t="n">
        <v>22</v>
      </c>
      <c r="G66" s="4" t="inlineStr">
        <is>
          <t>lamp niche</t>
        </is>
      </c>
    </row>
    <row r="67">
      <c r="A67" s="4" t="inlineStr">
        <is>
          <t>P</t>
        </is>
      </c>
      <c r="B67" s="4" t="inlineStr">
        <is>
          <t>6 A socket</t>
        </is>
      </c>
      <c r="C67" s="4" t="inlineStr">
        <is>
          <t>1'-0"</t>
        </is>
      </c>
      <c r="D67" s="4" t="inlineStr">
        <is>
          <t>Pooja</t>
        </is>
      </c>
      <c r="E67" s="4" t="n">
        <v>34</v>
      </c>
      <c r="F67" s="4" t="n">
        <v>19.4</v>
      </c>
      <c r="G67" s="4" t="inlineStr"/>
    </row>
    <row r="68">
      <c r="A68" s="4" t="inlineStr">
        <is>
          <t>S</t>
        </is>
      </c>
      <c r="B68" s="4" t="inlineStr">
        <is>
          <t>Switchboard</t>
        </is>
      </c>
      <c r="C68" s="4" t="inlineStr">
        <is>
          <t>4'-0"</t>
        </is>
      </c>
      <c r="D68" s="4" t="inlineStr">
        <is>
          <t>Pooja</t>
        </is>
      </c>
      <c r="E68" s="4" t="n">
        <v>38</v>
      </c>
      <c r="F68" s="4" t="n">
        <v>19.4</v>
      </c>
      <c r="G68" s="4" t="inlineStr"/>
    </row>
    <row r="69">
      <c r="A69" s="4" t="inlineStr">
        <is>
          <t>L</t>
        </is>
      </c>
      <c r="B69" s="4" t="inlineStr">
        <is>
          <t>Ceiling light</t>
        </is>
      </c>
      <c r="C69" s="4" t="inlineStr">
        <is>
          <t>ceiling</t>
        </is>
      </c>
      <c r="D69" s="4" t="inlineStr">
        <is>
          <t>Store</t>
        </is>
      </c>
      <c r="E69" s="4" t="n">
        <v>39</v>
      </c>
      <c r="F69" s="4" t="n">
        <v>7.5</v>
      </c>
      <c r="G69" s="4" t="inlineStr"/>
    </row>
    <row r="70">
      <c r="A70" s="4" t="inlineStr">
        <is>
          <t>S</t>
        </is>
      </c>
      <c r="B70" s="4" t="inlineStr">
        <is>
          <t>Switchboard</t>
        </is>
      </c>
      <c r="C70" s="4" t="inlineStr">
        <is>
          <t>4'-0"</t>
        </is>
      </c>
      <c r="D70" s="4" t="inlineStr">
        <is>
          <t>Store</t>
        </is>
      </c>
      <c r="E70" s="4" t="n">
        <v>40.8</v>
      </c>
      <c r="F70" s="4" t="n">
        <v>10.6</v>
      </c>
      <c r="G70" s="4" t="inlineStr"/>
    </row>
    <row r="71">
      <c r="A71" s="4" t="inlineStr">
        <is>
          <t>INV</t>
        </is>
      </c>
      <c r="B71" s="4" t="inlineStr">
        <is>
          <t>Inverter + battery</t>
        </is>
      </c>
      <c r="C71" s="4" t="inlineStr">
        <is>
          <t>floor</t>
        </is>
      </c>
      <c r="D71" s="4" t="inlineStr">
        <is>
          <t>Store</t>
        </is>
      </c>
      <c r="E71" s="4" t="n">
        <v>38.5</v>
      </c>
      <c r="F71" s="4" t="n">
        <v>9.6</v>
      </c>
      <c r="G71" s="4" t="inlineStr">
        <is>
          <t>ventilated, on the store's inside wall</t>
        </is>
      </c>
    </row>
    <row r="72">
      <c r="A72" s="4" t="inlineStr">
        <is>
          <t>L</t>
        </is>
      </c>
      <c r="B72" s="4" t="inlineStr">
        <is>
          <t>Ceiling light</t>
        </is>
      </c>
      <c r="C72" s="4" t="inlineStr">
        <is>
          <t>ceiling</t>
        </is>
      </c>
      <c r="D72" s="4" t="inlineStr">
        <is>
          <t>Wet area (semi-open)</t>
        </is>
      </c>
      <c r="E72" s="4" t="n">
        <v>46</v>
      </c>
      <c r="F72" s="4" t="n">
        <v>6</v>
      </c>
      <c r="G72" s="4" t="inlineStr">
        <is>
          <t>weatherproof</t>
        </is>
      </c>
    </row>
    <row r="73">
      <c r="A73" s="4" t="inlineStr">
        <is>
          <t>P16</t>
        </is>
      </c>
      <c r="B73" s="4" t="inlineStr">
        <is>
          <t>16 A power socket</t>
        </is>
      </c>
      <c r="C73" s="4" t="inlineStr">
        <is>
          <t>varies</t>
        </is>
      </c>
      <c r="D73" s="4" t="inlineStr">
        <is>
          <t>Wet area (semi-open)</t>
        </is>
      </c>
      <c r="E73" s="4" t="n">
        <v>43.3</v>
      </c>
      <c r="F73" s="4" t="n">
        <v>8.6</v>
      </c>
      <c r="G73" s="4" t="inlineStr">
        <is>
          <t>washing machine</t>
        </is>
      </c>
    </row>
    <row r="74">
      <c r="A74" s="4" t="inlineStr">
        <is>
          <t>P</t>
        </is>
      </c>
      <c r="B74" s="4" t="inlineStr">
        <is>
          <t>6 A socket</t>
        </is>
      </c>
      <c r="C74" s="4" t="inlineStr">
        <is>
          <t>1'-0"</t>
        </is>
      </c>
      <c r="D74" s="4" t="inlineStr">
        <is>
          <t>Wet area (semi-open)</t>
        </is>
      </c>
      <c r="E74" s="4" t="n">
        <v>48.6</v>
      </c>
      <c r="F74" s="4" t="n">
        <v>5.5</v>
      </c>
      <c r="G74" s="4" t="inlineStr">
        <is>
          <t>utility</t>
        </is>
      </c>
    </row>
    <row r="75">
      <c r="A75" s="4" t="inlineStr">
        <is>
          <t>L</t>
        </is>
      </c>
      <c r="B75" s="4" t="inlineStr">
        <is>
          <t>Ceiling light</t>
        </is>
      </c>
      <c r="C75" s="4" t="inlineStr">
        <is>
          <t>ceiling</t>
        </is>
      </c>
      <c r="D75" s="4" t="inlineStr">
        <is>
          <t>Wash link</t>
        </is>
      </c>
      <c r="E75" s="4" t="n">
        <v>46</v>
      </c>
      <c r="F75" s="4" t="n">
        <v>11</v>
      </c>
      <c r="G75" s="4" t="inlineStr"/>
    </row>
    <row r="76">
      <c r="A76" s="4" t="inlineStr">
        <is>
          <t>WL</t>
        </is>
      </c>
      <c r="B76" s="4" t="inlineStr">
        <is>
          <t>Wall light / mirror light</t>
        </is>
      </c>
      <c r="C76" s="4" t="inlineStr">
        <is>
          <t>6'-6"</t>
        </is>
      </c>
      <c r="D76" s="4" t="inlineStr">
        <is>
          <t>Wash link</t>
        </is>
      </c>
      <c r="E76" s="4" t="n">
        <v>43.3</v>
      </c>
      <c r="F76" s="4" t="n">
        <v>10.8</v>
      </c>
      <c r="G76" s="4" t="inlineStr">
        <is>
          <t>over basin</t>
        </is>
      </c>
    </row>
    <row r="77">
      <c r="A77" s="4" t="inlineStr">
        <is>
          <t>S</t>
        </is>
      </c>
      <c r="B77" s="4" t="inlineStr">
        <is>
          <t>Switchboard</t>
        </is>
      </c>
      <c r="C77" s="4" t="inlineStr">
        <is>
          <t>4'-0"</t>
        </is>
      </c>
      <c r="D77" s="4" t="inlineStr">
        <is>
          <t>Wash link</t>
        </is>
      </c>
      <c r="E77" s="4" t="n">
        <v>49.6</v>
      </c>
      <c r="F77" s="4" t="n">
        <v>12.6</v>
      </c>
      <c r="G77" s="4" t="inlineStr"/>
    </row>
    <row r="78">
      <c r="A78" s="4" t="inlineStr">
        <is>
          <t>L</t>
        </is>
      </c>
      <c r="B78" s="4" t="inlineStr">
        <is>
          <t>Ceiling light</t>
        </is>
      </c>
      <c r="C78" s="4" t="inlineStr">
        <is>
          <t>ceiling</t>
        </is>
      </c>
      <c r="D78" s="4" t="inlineStr">
        <is>
          <t>Kitchen</t>
        </is>
      </c>
      <c r="E78" s="4" t="n">
        <v>55</v>
      </c>
      <c r="F78" s="4" t="n">
        <v>8</v>
      </c>
      <c r="G78" s="4" t="inlineStr"/>
    </row>
    <row r="79">
      <c r="A79" s="4" t="inlineStr">
        <is>
          <t>WL</t>
        </is>
      </c>
      <c r="B79" s="4" t="inlineStr">
        <is>
          <t>Wall light / mirror light</t>
        </is>
      </c>
      <c r="C79" s="4" t="inlineStr">
        <is>
          <t>6'-6"</t>
        </is>
      </c>
      <c r="D79" s="4" t="inlineStr">
        <is>
          <t>Kitchen</t>
        </is>
      </c>
      <c r="E79" s="4" t="n">
        <v>54</v>
      </c>
      <c r="F79" s="4" t="n">
        <v>3.5</v>
      </c>
      <c r="G79" s="4" t="inlineStr">
        <is>
          <t>under-cabinet</t>
        </is>
      </c>
    </row>
    <row r="80">
      <c r="A80" s="4" t="inlineStr">
        <is>
          <t>WL</t>
        </is>
      </c>
      <c r="B80" s="4" t="inlineStr">
        <is>
          <t>Wall light / mirror light</t>
        </is>
      </c>
      <c r="C80" s="4" t="inlineStr">
        <is>
          <t>6'-6"</t>
        </is>
      </c>
      <c r="D80" s="4" t="inlineStr">
        <is>
          <t>Kitchen</t>
        </is>
      </c>
      <c r="E80" s="4" t="n">
        <v>59.5</v>
      </c>
      <c r="F80" s="4" t="n">
        <v>9</v>
      </c>
      <c r="G80" s="4" t="inlineStr">
        <is>
          <t>under-cabinet</t>
        </is>
      </c>
    </row>
    <row r="81">
      <c r="A81" s="4" t="inlineStr">
        <is>
          <t>CH</t>
        </is>
      </c>
      <c r="B81" s="4" t="inlineStr">
        <is>
          <t>Kitchen chimney point (16 A)</t>
        </is>
      </c>
      <c r="C81" s="4" t="inlineStr">
        <is>
          <t>7'-0"</t>
        </is>
      </c>
      <c r="D81" s="4" t="inlineStr">
        <is>
          <t>Kitchen</t>
        </is>
      </c>
      <c r="E81" s="4" t="n">
        <v>59.6</v>
      </c>
      <c r="F81" s="4" t="n">
        <v>8.75</v>
      </c>
      <c r="G81" s="4" t="inlineStr">
        <is>
          <t>duct out through east wall</t>
        </is>
      </c>
    </row>
    <row r="82">
      <c r="A82" s="4" t="inlineStr">
        <is>
          <t>P16</t>
        </is>
      </c>
      <c r="B82" s="4" t="inlineStr">
        <is>
          <t>16 A power socket</t>
        </is>
      </c>
      <c r="C82" s="4" t="inlineStr">
        <is>
          <t>varies</t>
        </is>
      </c>
      <c r="D82" s="4" t="inlineStr">
        <is>
          <t>Kitchen</t>
        </is>
      </c>
      <c r="E82" s="4" t="n">
        <v>53.1</v>
      </c>
      <c r="F82" s="4" t="n">
        <v>12.6</v>
      </c>
      <c r="G82" s="4" t="inlineStr">
        <is>
          <t>refrigerator</t>
        </is>
      </c>
    </row>
    <row r="83">
      <c r="A83" s="4" t="inlineStr">
        <is>
          <t>PC</t>
        </is>
      </c>
      <c r="B83" s="4" t="inlineStr">
        <is>
          <t>6 A socket at counter</t>
        </is>
      </c>
      <c r="C83" s="4" t="inlineStr">
        <is>
          <t>3'-6"</t>
        </is>
      </c>
      <c r="D83" s="4" t="inlineStr">
        <is>
          <t>Kitchen</t>
        </is>
      </c>
      <c r="E83" s="4" t="n">
        <v>51</v>
      </c>
      <c r="F83" s="4" t="n">
        <v>3.5</v>
      </c>
      <c r="G83" s="4" t="inlineStr">
        <is>
          <t>microwave / OTG</t>
        </is>
      </c>
    </row>
    <row r="84">
      <c r="A84" s="4" t="inlineStr">
        <is>
          <t>PC</t>
        </is>
      </c>
      <c r="B84" s="4" t="inlineStr">
        <is>
          <t>6 A socket at counter</t>
        </is>
      </c>
      <c r="C84" s="4" t="inlineStr">
        <is>
          <t>3'-6"</t>
        </is>
      </c>
      <c r="D84" s="4" t="inlineStr">
        <is>
          <t>Kitchen</t>
        </is>
      </c>
      <c r="E84" s="4" t="n">
        <v>56.5</v>
      </c>
      <c r="F84" s="4" t="n">
        <v>3.5</v>
      </c>
      <c r="G84" s="4" t="inlineStr">
        <is>
          <t>mixer</t>
        </is>
      </c>
    </row>
    <row r="85">
      <c r="A85" s="4" t="inlineStr">
        <is>
          <t>PC</t>
        </is>
      </c>
      <c r="B85" s="4" t="inlineStr">
        <is>
          <t>6 A socket at counter</t>
        </is>
      </c>
      <c r="C85" s="4" t="inlineStr">
        <is>
          <t>3'-6"</t>
        </is>
      </c>
      <c r="D85" s="4" t="inlineStr">
        <is>
          <t>Kitchen</t>
        </is>
      </c>
      <c r="E85" s="4" t="n">
        <v>59.6</v>
      </c>
      <c r="F85" s="4" t="n">
        <v>6</v>
      </c>
      <c r="G85" s="4" t="inlineStr"/>
    </row>
    <row r="86">
      <c r="A86" s="4" t="inlineStr">
        <is>
          <t>PC</t>
        </is>
      </c>
      <c r="B86" s="4" t="inlineStr">
        <is>
          <t>6 A socket at counter</t>
        </is>
      </c>
      <c r="C86" s="4" t="inlineStr">
        <is>
          <t>3'-6"</t>
        </is>
      </c>
      <c r="D86" s="4" t="inlineStr">
        <is>
          <t>Kitchen</t>
        </is>
      </c>
      <c r="E86" s="4" t="n">
        <v>59.6</v>
      </c>
      <c r="F86" s="4" t="n">
        <v>11.5</v>
      </c>
      <c r="G86" s="4" t="inlineStr"/>
    </row>
    <row r="87">
      <c r="A87" s="4" t="inlineStr">
        <is>
          <t>PC</t>
        </is>
      </c>
      <c r="B87" s="4" t="inlineStr">
        <is>
          <t>6 A socket at counter</t>
        </is>
      </c>
      <c r="C87" s="4" t="inlineStr">
        <is>
          <t>3'-6"</t>
        </is>
      </c>
      <c r="D87" s="4" t="inlineStr">
        <is>
          <t>Kitchen</t>
        </is>
      </c>
      <c r="E87" s="4" t="n">
        <v>52.3</v>
      </c>
      <c r="F87" s="4" t="n">
        <v>3.5</v>
      </c>
      <c r="G87" s="4" t="inlineStr">
        <is>
          <t>RO purifier, by sink</t>
        </is>
      </c>
    </row>
    <row r="88">
      <c r="A88" s="4" t="inlineStr">
        <is>
          <t>S</t>
        </is>
      </c>
      <c r="B88" s="4" t="inlineStr">
        <is>
          <t>Switchboard</t>
        </is>
      </c>
      <c r="C88" s="4" t="inlineStr">
        <is>
          <t>4'-0"</t>
        </is>
      </c>
      <c r="D88" s="4" t="inlineStr">
        <is>
          <t>Kitchen</t>
        </is>
      </c>
      <c r="E88" s="4" t="n">
        <v>50.4</v>
      </c>
      <c r="F88" s="4" t="n">
        <v>9.6</v>
      </c>
      <c r="G88" s="4" t="inlineStr">
        <is>
          <t>at entry</t>
        </is>
      </c>
    </row>
    <row r="89">
      <c r="A89" s="4" t="inlineStr">
        <is>
          <t>EF</t>
        </is>
      </c>
      <c r="B89" s="4" t="inlineStr">
        <is>
          <t>Exhaust fan</t>
        </is>
      </c>
      <c r="C89" s="4" t="inlineStr">
        <is>
          <t>7'-0"</t>
        </is>
      </c>
      <c r="D89" s="4" t="inlineStr">
        <is>
          <t>Kitchen</t>
        </is>
      </c>
      <c r="E89" s="4" t="n">
        <v>50.4</v>
      </c>
      <c r="F89" s="4" t="n">
        <v>5</v>
      </c>
      <c r="G89" s="4" t="inlineStr">
        <is>
          <t>to wet area</t>
        </is>
      </c>
    </row>
    <row r="90">
      <c r="A90" s="4" t="inlineStr">
        <is>
          <t>F</t>
        </is>
      </c>
      <c r="B90" s="4" t="inlineStr">
        <is>
          <t>Ceiling fan point</t>
        </is>
      </c>
      <c r="C90" s="4" t="inlineStr">
        <is>
          <t>ceiling</t>
        </is>
      </c>
      <c r="D90" s="4" t="inlineStr">
        <is>
          <t>Living</t>
        </is>
      </c>
      <c r="E90" s="4" t="n">
        <v>48</v>
      </c>
      <c r="F90" s="4" t="n">
        <v>19</v>
      </c>
      <c r="G90" s="4" t="inlineStr">
        <is>
          <t>long downrod</t>
        </is>
      </c>
    </row>
    <row r="91">
      <c r="A91" s="4" t="inlineStr">
        <is>
          <t>L</t>
        </is>
      </c>
      <c r="B91" s="4" t="inlineStr">
        <is>
          <t>Ceiling light</t>
        </is>
      </c>
      <c r="C91" s="4" t="inlineStr">
        <is>
          <t>ceiling</t>
        </is>
      </c>
      <c r="D91" s="4" t="inlineStr">
        <is>
          <t>Living</t>
        </is>
      </c>
      <c r="E91" s="4" t="n">
        <v>45</v>
      </c>
      <c r="F91" s="4" t="n">
        <v>22.5</v>
      </c>
      <c r="G91" s="4" t="inlineStr"/>
    </row>
    <row r="92">
      <c r="A92" s="4" t="inlineStr">
        <is>
          <t>L</t>
        </is>
      </c>
      <c r="B92" s="4" t="inlineStr">
        <is>
          <t>Ceiling light</t>
        </is>
      </c>
      <c r="C92" s="4" t="inlineStr">
        <is>
          <t>ceiling</t>
        </is>
      </c>
      <c r="D92" s="4" t="inlineStr">
        <is>
          <t>Living</t>
        </is>
      </c>
      <c r="E92" s="4" t="n">
        <v>51</v>
      </c>
      <c r="F92" s="4" t="n">
        <v>16</v>
      </c>
      <c r="G92" s="4" t="inlineStr"/>
    </row>
    <row r="93">
      <c r="A93" s="4" t="inlineStr">
        <is>
          <t>WL</t>
        </is>
      </c>
      <c r="B93" s="4" t="inlineStr">
        <is>
          <t>Wall light / mirror light</t>
        </is>
      </c>
      <c r="C93" s="4" t="inlineStr">
        <is>
          <t>6'-6"</t>
        </is>
      </c>
      <c r="D93" s="4" t="inlineStr">
        <is>
          <t>Living</t>
        </is>
      </c>
      <c r="E93" s="4" t="n">
        <v>42.4</v>
      </c>
      <c r="F93" s="4" t="n">
        <v>17</v>
      </c>
      <c r="G93" s="4" t="inlineStr"/>
    </row>
    <row r="94">
      <c r="A94" s="4" t="inlineStr">
        <is>
          <t>TV</t>
        </is>
      </c>
      <c r="B94" s="4" t="inlineStr">
        <is>
          <t>TV + data point</t>
        </is>
      </c>
      <c r="C94" s="4" t="inlineStr">
        <is>
          <t>3'-6"</t>
        </is>
      </c>
      <c r="D94" s="4" t="inlineStr">
        <is>
          <t>Living</t>
        </is>
      </c>
      <c r="E94" s="4" t="n">
        <v>46</v>
      </c>
      <c r="F94" s="4" t="n">
        <v>13.4</v>
      </c>
      <c r="G94" s="4" t="inlineStr">
        <is>
          <t>TV + data + 2 sockets</t>
        </is>
      </c>
    </row>
    <row r="95">
      <c r="A95" s="4" t="inlineStr">
        <is>
          <t>P</t>
        </is>
      </c>
      <c r="B95" s="4" t="inlineStr">
        <is>
          <t>6 A socket</t>
        </is>
      </c>
      <c r="C95" s="4" t="inlineStr">
        <is>
          <t>1'-0"</t>
        </is>
      </c>
      <c r="D95" s="4" t="inlineStr">
        <is>
          <t>Living</t>
        </is>
      </c>
      <c r="E95" s="4" t="n">
        <v>44.2</v>
      </c>
      <c r="F95" s="4" t="n">
        <v>24.6</v>
      </c>
      <c r="G95" s="4" t="inlineStr">
        <is>
          <t>sofa</t>
        </is>
      </c>
    </row>
    <row r="96">
      <c r="A96" s="4" t="inlineStr">
        <is>
          <t>P</t>
        </is>
      </c>
      <c r="B96" s="4" t="inlineStr">
        <is>
          <t>6 A socket</t>
        </is>
      </c>
      <c r="C96" s="4" t="inlineStr">
        <is>
          <t>1'-0"</t>
        </is>
      </c>
      <c r="D96" s="4" t="inlineStr">
        <is>
          <t>Living</t>
        </is>
      </c>
      <c r="E96" s="4" t="n">
        <v>50</v>
      </c>
      <c r="F96" s="4" t="n">
        <v>24.6</v>
      </c>
      <c r="G96" s="4" t="inlineStr">
        <is>
          <t>sofa</t>
        </is>
      </c>
    </row>
    <row r="97">
      <c r="A97" s="4" t="inlineStr">
        <is>
          <t>AC</t>
        </is>
      </c>
      <c r="B97" s="4" t="inlineStr">
        <is>
          <t>AC indoor unit (16 A socket, sleeve, drain)</t>
        </is>
      </c>
      <c r="C97" s="4" t="inlineStr">
        <is>
          <t>7'-6"</t>
        </is>
      </c>
      <c r="D97" s="4" t="inlineStr">
        <is>
          <t>Living</t>
        </is>
      </c>
      <c r="E97" s="4" t="n">
        <v>42.4</v>
      </c>
      <c r="F97" s="4" t="n">
        <v>21.5</v>
      </c>
      <c r="G97" s="4" t="inlineStr">
        <is>
          <t>west wall</t>
        </is>
      </c>
    </row>
    <row r="98">
      <c r="A98" s="4" t="inlineStr">
        <is>
          <t>ODU</t>
        </is>
      </c>
      <c r="B98" s="4" t="inlineStr">
        <is>
          <t>AC outdoor unit bracket</t>
        </is>
      </c>
      <c r="C98" s="4" t="inlineStr">
        <is>
          <t>7'-0" outside</t>
        </is>
      </c>
      <c r="D98" s="4" t="inlineStr">
        <is>
          <t>Living</t>
        </is>
      </c>
      <c r="E98" s="4" t="n">
        <v>52.5</v>
      </c>
      <c r="F98" s="4" t="n">
        <v>25.6</v>
      </c>
      <c r="G98" s="4" t="inlineStr">
        <is>
          <t>north wall, shaded</t>
        </is>
      </c>
    </row>
    <row r="99">
      <c r="A99" s="4" t="inlineStr">
        <is>
          <t>S</t>
        </is>
      </c>
      <c r="B99" s="4" t="inlineStr">
        <is>
          <t>Switchboard</t>
        </is>
      </c>
      <c r="C99" s="4" t="inlineStr">
        <is>
          <t>4'-0"</t>
        </is>
      </c>
      <c r="D99" s="4" t="inlineStr">
        <is>
          <t>Living</t>
        </is>
      </c>
      <c r="E99" s="4" t="n">
        <v>53.6</v>
      </c>
      <c r="F99" s="4" t="n">
        <v>23</v>
      </c>
      <c r="G99" s="4" t="inlineStr">
        <is>
          <t>main switch at door</t>
        </is>
      </c>
    </row>
    <row r="100">
      <c r="A100" s="4" t="inlineStr">
        <is>
          <t>DB</t>
        </is>
      </c>
      <c r="B100" s="4" t="inlineStr">
        <is>
          <t>Distribution board</t>
        </is>
      </c>
      <c r="C100" s="4" t="inlineStr">
        <is>
          <t>5'-0" to top</t>
        </is>
      </c>
      <c r="D100" s="4" t="inlineStr">
        <is>
          <t>Living</t>
        </is>
      </c>
      <c r="E100" s="4" t="n">
        <v>52.5</v>
      </c>
      <c r="F100" s="4" t="n">
        <v>13.4</v>
      </c>
      <c r="G100" s="4" t="inlineStr">
        <is>
          <t>SE of living, near entry</t>
        </is>
      </c>
    </row>
    <row r="101">
      <c r="A101" s="4" t="inlineStr">
        <is>
          <t>U</t>
        </is>
      </c>
      <c r="B101" s="4" t="inlineStr">
        <is>
          <t>Inverter (UPS) socket</t>
        </is>
      </c>
      <c r="C101" s="4" t="inlineStr">
        <is>
          <t>1'-0"</t>
        </is>
      </c>
      <c r="D101" s="4" t="inlineStr">
        <is>
          <t>Living</t>
        </is>
      </c>
      <c r="E101" s="4" t="n">
        <v>50.5</v>
      </c>
      <c r="F101" s="4" t="n">
        <v>13.4</v>
      </c>
      <c r="G101" s="4" t="inlineStr">
        <is>
          <t>router</t>
        </is>
      </c>
    </row>
    <row r="102">
      <c r="A102" s="4" t="inlineStr">
        <is>
          <t>L</t>
        </is>
      </c>
      <c r="B102" s="4" t="inlineStr">
        <is>
          <t>Ceiling light</t>
        </is>
      </c>
      <c r="C102" s="4" t="inlineStr">
        <is>
          <t>ceiling</t>
        </is>
      </c>
      <c r="D102" s="4" t="inlineStr">
        <is>
          <t>Poomukham (verandah)</t>
        </is>
      </c>
      <c r="E102" s="4" t="n">
        <v>57</v>
      </c>
      <c r="F102" s="4" t="n">
        <v>16</v>
      </c>
      <c r="G102" s="4" t="inlineStr"/>
    </row>
    <row r="103">
      <c r="A103" s="4" t="inlineStr">
        <is>
          <t>L</t>
        </is>
      </c>
      <c r="B103" s="4" t="inlineStr">
        <is>
          <t>Ceiling light</t>
        </is>
      </c>
      <c r="C103" s="4" t="inlineStr">
        <is>
          <t>ceiling</t>
        </is>
      </c>
      <c r="D103" s="4" t="inlineStr">
        <is>
          <t>Poomukham (verandah)</t>
        </is>
      </c>
      <c r="E103" s="4" t="n">
        <v>57</v>
      </c>
      <c r="F103" s="4" t="n">
        <v>22</v>
      </c>
      <c r="G103" s="4" t="inlineStr"/>
    </row>
    <row r="104">
      <c r="A104" s="4" t="inlineStr">
        <is>
          <t>BELL</t>
        </is>
      </c>
      <c r="B104" s="4" t="inlineStr">
        <is>
          <t>Bell push</t>
        </is>
      </c>
      <c r="C104" s="4" t="inlineStr">
        <is>
          <t>4'-6"</t>
        </is>
      </c>
      <c r="D104" s="4" t="inlineStr">
        <is>
          <t>Poomukham (verandah)</t>
        </is>
      </c>
      <c r="E104" s="4" t="n">
        <v>54.4</v>
      </c>
      <c r="F104" s="4" t="n">
        <v>23</v>
      </c>
      <c r="G104" s="4" t="inlineStr"/>
    </row>
    <row r="105">
      <c r="A105" s="4" t="inlineStr">
        <is>
          <t>CAM</t>
        </is>
      </c>
      <c r="B105" s="4" t="inlineStr">
        <is>
          <t>CCTV point</t>
        </is>
      </c>
      <c r="C105" s="4" t="inlineStr">
        <is>
          <t>8'-0"</t>
        </is>
      </c>
      <c r="D105" s="4" t="inlineStr">
        <is>
          <t>Poomukham (verandah)</t>
        </is>
      </c>
      <c r="E105" s="4" t="n">
        <v>59.5</v>
      </c>
      <c r="F105" s="4" t="n">
        <v>24.6</v>
      </c>
      <c r="G105" s="4" t="inlineStr">
        <is>
          <t>covers gate and door</t>
        </is>
      </c>
    </row>
    <row r="106">
      <c r="A106" s="4" t="inlineStr">
        <is>
          <t>P</t>
        </is>
      </c>
      <c r="B106" s="4" t="inlineStr">
        <is>
          <t>6 A socket</t>
        </is>
      </c>
      <c r="C106" s="4" t="inlineStr">
        <is>
          <t>1'-0"</t>
        </is>
      </c>
      <c r="D106" s="4" t="inlineStr">
        <is>
          <t>Poomukham (verandah)</t>
        </is>
      </c>
      <c r="E106" s="4" t="n">
        <v>54.4</v>
      </c>
      <c r="F106" s="4" t="n">
        <v>14.5</v>
      </c>
      <c r="G106" s="4" t="inlineStr">
        <is>
          <t>outdoor, weatherproof</t>
        </is>
      </c>
    </row>
    <row r="107">
      <c r="A107" s="4" t="inlineStr">
        <is>
          <t>S</t>
        </is>
      </c>
      <c r="B107" s="4" t="inlineStr">
        <is>
          <t>Switchboard</t>
        </is>
      </c>
      <c r="C107" s="4" t="inlineStr">
        <is>
          <t>4'-0"</t>
        </is>
      </c>
      <c r="D107" s="4" t="inlineStr">
        <is>
          <t>Poomukham (verandah)</t>
        </is>
      </c>
      <c r="E107" s="4" t="n">
        <v>54.4</v>
      </c>
      <c r="F107" s="4" t="n">
        <v>23.6</v>
      </c>
      <c r="G107" s="4" t="inlineStr"/>
    </row>
    <row r="108">
      <c r="A108" s="4" t="inlineStr">
        <is>
          <t>MTR</t>
        </is>
      </c>
      <c r="B108" s="4" t="inlineStr">
        <is>
          <t>Meter at gate</t>
        </is>
      </c>
      <c r="C108" s="4" t="inlineStr">
        <is>
          <t>5'-0"</t>
        </is>
      </c>
      <c r="D108" s="4" t="inlineStr">
        <is>
          <t>Site</t>
        </is>
      </c>
      <c r="E108" s="4" t="n">
        <v>69.59999999999999</v>
      </c>
      <c r="F108" s="4" t="n">
        <v>23</v>
      </c>
      <c r="G108" s="4" t="inlineStr">
        <is>
          <t>meter in compound wall by gate</t>
        </is>
      </c>
    </row>
    <row r="109">
      <c r="A109" s="4" t="inlineStr">
        <is>
          <t>GL</t>
        </is>
      </c>
      <c r="B109" s="4" t="inlineStr">
        <is>
          <t>Outdoor / gate light</t>
        </is>
      </c>
      <c r="C109" s="4" t="inlineStr">
        <is>
          <t>7'-0"</t>
        </is>
      </c>
      <c r="D109" s="4" t="inlineStr">
        <is>
          <t>Site</t>
        </is>
      </c>
      <c r="E109" s="4" t="n">
        <v>69.59999999999999</v>
      </c>
      <c r="F109" s="4" t="n">
        <v>14.5</v>
      </c>
      <c r="G109" s="4" t="inlineStr">
        <is>
          <t>gate light</t>
        </is>
      </c>
    </row>
    <row r="110">
      <c r="A110" s="4" t="inlineStr">
        <is>
          <t>EP</t>
        </is>
      </c>
      <c r="B110" s="4" t="inlineStr">
        <is>
          <t>Earth pit</t>
        </is>
      </c>
      <c r="C110" s="4" t="inlineStr">
        <is>
          <t>ground</t>
        </is>
      </c>
      <c r="D110" s="4" t="inlineStr">
        <is>
          <t>Site</t>
        </is>
      </c>
      <c r="E110" s="4" t="n">
        <v>61.2</v>
      </c>
      <c r="F110" s="4" t="n">
        <v>1.5</v>
      </c>
      <c r="G110" s="4" t="inlineStr">
        <is>
          <t>earth pit 1</t>
        </is>
      </c>
    </row>
    <row r="111">
      <c r="A111" s="4" t="inlineStr">
        <is>
          <t>EP</t>
        </is>
      </c>
      <c r="B111" s="4" t="inlineStr">
        <is>
          <t>Earth pit</t>
        </is>
      </c>
      <c r="C111" s="4" t="inlineStr">
        <is>
          <t>ground</t>
        </is>
      </c>
      <c r="D111" s="4" t="inlineStr">
        <is>
          <t>Site</t>
        </is>
      </c>
      <c r="E111" s="4" t="n">
        <v>68.5</v>
      </c>
      <c r="F111" s="4" t="n">
        <v>1.5</v>
      </c>
      <c r="G111" s="4" t="inlineStr">
        <is>
          <t>earth pit 2</t>
        </is>
      </c>
    </row>
    <row r="112">
      <c r="A112" s="4" t="inlineStr">
        <is>
          <t>GL</t>
        </is>
      </c>
      <c r="B112" s="4" t="inlineStr">
        <is>
          <t>Outdoor / gate light</t>
        </is>
      </c>
      <c r="C112" s="4" t="inlineStr">
        <is>
          <t>7'-0"</t>
        </is>
      </c>
      <c r="D112" s="4" t="inlineStr">
        <is>
          <t>Site</t>
        </is>
      </c>
      <c r="E112" s="4" t="n">
        <v>2.5</v>
      </c>
      <c r="F112" s="4" t="n">
        <v>8</v>
      </c>
      <c r="G112" s="4" t="inlineStr">
        <is>
          <t>rear garden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8" customWidth="1" min="4" max="4"/>
    <col width="8" customWidth="1" min="5" max="5"/>
    <col width="40" customWidth="1" min="6" max="6"/>
  </cols>
  <sheetData>
    <row r="1" ht="30" customHeight="1">
      <c r="A1" s="3" t="inlineStr">
        <is>
          <t>Code</t>
        </is>
      </c>
      <c r="B1" s="3" t="inlineStr">
        <is>
          <t>Item</t>
        </is>
      </c>
      <c r="C1" s="3" t="inlineStr">
        <is>
          <t>Room</t>
        </is>
      </c>
      <c r="D1" s="3" t="inlineStr">
        <is>
          <t>X (ft)</t>
        </is>
      </c>
      <c r="E1" s="3" t="inlineStr">
        <is>
          <t>Y (ft)</t>
        </is>
      </c>
      <c r="F1" s="3" t="inlineStr">
        <is>
          <t>Note</t>
        </is>
      </c>
    </row>
    <row r="2">
      <c r="A2" s="4" t="inlineStr">
        <is>
          <t>WC</t>
        </is>
      </c>
      <c r="B2" s="4" t="inlineStr">
        <is>
          <t>Wall-hung WC, concealed cistern</t>
        </is>
      </c>
      <c r="C2" s="4" t="inlineStr">
        <is>
          <t>Ensuite</t>
        </is>
      </c>
      <c r="D2" s="4" t="n">
        <v>6.3</v>
      </c>
      <c r="E2" s="4" t="n">
        <v>19.5</v>
      </c>
      <c r="F2" s="4" t="inlineStr">
        <is>
          <t>wall-hung on west (outer) wall</t>
        </is>
      </c>
    </row>
    <row r="3">
      <c r="A3" s="4" t="inlineStr">
        <is>
          <t>HF</t>
        </is>
      </c>
      <c r="B3" s="4" t="inlineStr">
        <is>
          <t>Health faucet</t>
        </is>
      </c>
      <c r="C3" s="4" t="inlineStr">
        <is>
          <t>Ensuite</t>
        </is>
      </c>
      <c r="D3" s="4" t="n">
        <v>5.4</v>
      </c>
      <c r="E3" s="4" t="n">
        <v>20.6</v>
      </c>
      <c r="F3" s="4" t="inlineStr"/>
    </row>
    <row r="4">
      <c r="A4" s="4" t="inlineStr">
        <is>
          <t>BS</t>
        </is>
      </c>
      <c r="B4" s="4" t="inlineStr">
        <is>
          <t>Wash basin</t>
        </is>
      </c>
      <c r="C4" s="4" t="inlineStr">
        <is>
          <t>Ensuite</t>
        </is>
      </c>
      <c r="D4" s="4" t="n">
        <v>9</v>
      </c>
      <c r="E4" s="4" t="n">
        <v>17.8</v>
      </c>
      <c r="F4" s="4" t="inlineStr">
        <is>
          <t>on 7 in wet wall</t>
        </is>
      </c>
    </row>
    <row r="5">
      <c r="A5" s="4" t="inlineStr">
        <is>
          <t>SH</t>
        </is>
      </c>
      <c r="B5" s="4" t="inlineStr">
        <is>
          <t>Shower mixer (hot + cold)</t>
        </is>
      </c>
      <c r="C5" s="4" t="inlineStr">
        <is>
          <t>Ensuite</t>
        </is>
      </c>
      <c r="D5" s="4" t="n">
        <v>5.4</v>
      </c>
      <c r="E5" s="4" t="n">
        <v>23.6</v>
      </c>
      <c r="F5" s="4" t="inlineStr"/>
    </row>
    <row r="6">
      <c r="A6" s="4" t="inlineStr">
        <is>
          <t>FT</t>
        </is>
      </c>
      <c r="B6" s="4" t="inlineStr">
        <is>
          <t>Floor trap / linear drain</t>
        </is>
      </c>
      <c r="C6" s="4" t="inlineStr">
        <is>
          <t>Ensuite</t>
        </is>
      </c>
      <c r="D6" s="4" t="n">
        <v>8.25</v>
      </c>
      <c r="E6" s="4" t="n">
        <v>24.5</v>
      </c>
      <c r="F6" s="4" t="inlineStr">
        <is>
          <t>linear drain along north wall</t>
        </is>
      </c>
    </row>
    <row r="7">
      <c r="A7" s="4" t="inlineStr">
        <is>
          <t>FT</t>
        </is>
      </c>
      <c r="B7" s="4" t="inlineStr">
        <is>
          <t>Floor trap / linear drain</t>
        </is>
      </c>
      <c r="C7" s="4" t="inlineStr">
        <is>
          <t>Ensuite</t>
        </is>
      </c>
      <c r="D7" s="4" t="n">
        <v>9.6</v>
      </c>
      <c r="E7" s="4" t="n">
        <v>20.2</v>
      </c>
      <c r="F7" s="4" t="inlineStr">
        <is>
          <t>dry zone trap</t>
        </is>
      </c>
    </row>
    <row r="8">
      <c r="A8" s="4" t="inlineStr">
        <is>
          <t>WC</t>
        </is>
      </c>
      <c r="B8" s="4" t="inlineStr">
        <is>
          <t>Wall-hung WC, concealed cistern</t>
        </is>
      </c>
      <c r="C8" s="4" t="inlineStr">
        <is>
          <t>Bath 2</t>
        </is>
      </c>
      <c r="D8" s="4" t="n">
        <v>34.9</v>
      </c>
      <c r="E8" s="4" t="n">
        <v>8</v>
      </c>
      <c r="F8" s="4" t="inlineStr">
        <is>
          <t>on 7 in wet wall</t>
        </is>
      </c>
    </row>
    <row r="9">
      <c r="A9" s="4" t="inlineStr">
        <is>
          <t>HF</t>
        </is>
      </c>
      <c r="B9" s="4" t="inlineStr">
        <is>
          <t>Health faucet</t>
        </is>
      </c>
      <c r="C9" s="4" t="inlineStr">
        <is>
          <t>Bath 2</t>
        </is>
      </c>
      <c r="D9" s="4" t="n">
        <v>35.6</v>
      </c>
      <c r="E9" s="4" t="n">
        <v>9</v>
      </c>
      <c r="F9" s="4" t="inlineStr"/>
    </row>
    <row r="10">
      <c r="A10" s="4" t="inlineStr">
        <is>
          <t>BS</t>
        </is>
      </c>
      <c r="B10" s="4" t="inlineStr">
        <is>
          <t>Wash basin</t>
        </is>
      </c>
      <c r="C10" s="4" t="inlineStr">
        <is>
          <t>Bath 2</t>
        </is>
      </c>
      <c r="D10" s="4" t="n">
        <v>34.5</v>
      </c>
      <c r="E10" s="4" t="n">
        <v>10.6</v>
      </c>
      <c r="F10" s="4" t="inlineStr"/>
    </row>
    <row r="11">
      <c r="A11" s="4" t="inlineStr">
        <is>
          <t>SH</t>
        </is>
      </c>
      <c r="B11" s="4" t="inlineStr">
        <is>
          <t>Shower mixer (hot + cold)</t>
        </is>
      </c>
      <c r="C11" s="4" t="inlineStr">
        <is>
          <t>Bath 2</t>
        </is>
      </c>
      <c r="D11" s="4" t="n">
        <v>34.9</v>
      </c>
      <c r="E11" s="4" t="n">
        <v>3.4</v>
      </c>
      <c r="F11" s="4" t="inlineStr"/>
    </row>
    <row r="12">
      <c r="A12" s="4" t="inlineStr">
        <is>
          <t>FT</t>
        </is>
      </c>
      <c r="B12" s="4" t="inlineStr">
        <is>
          <t>Floor trap / linear drain</t>
        </is>
      </c>
      <c r="C12" s="4" t="inlineStr">
        <is>
          <t>Bath 2</t>
        </is>
      </c>
      <c r="D12" s="4" t="n">
        <v>33</v>
      </c>
      <c r="E12" s="4" t="n">
        <v>4.5</v>
      </c>
      <c r="F12" s="4" t="inlineStr">
        <is>
          <t>linear drain</t>
        </is>
      </c>
    </row>
    <row r="13">
      <c r="A13" s="4" t="inlineStr">
        <is>
          <t>FT</t>
        </is>
      </c>
      <c r="B13" s="4" t="inlineStr">
        <is>
          <t>Floor trap / linear drain</t>
        </is>
      </c>
      <c r="C13" s="4" t="inlineStr">
        <is>
          <t>Bath 2</t>
        </is>
      </c>
      <c r="D13" s="4" t="n">
        <v>32.2</v>
      </c>
      <c r="E13" s="4" t="n">
        <v>8</v>
      </c>
      <c r="F13" s="4" t="inlineStr">
        <is>
          <t>dry zone trap</t>
        </is>
      </c>
    </row>
    <row r="14">
      <c r="A14" s="4" t="inlineStr">
        <is>
          <t>SK</t>
        </is>
      </c>
      <c r="B14" s="4" t="inlineStr">
        <is>
          <t>Sink</t>
        </is>
      </c>
      <c r="C14" s="4" t="inlineStr">
        <is>
          <t>Wet area (semi-open)</t>
        </is>
      </c>
      <c r="D14" s="4" t="n">
        <v>47</v>
      </c>
      <c r="E14" s="4" t="n">
        <v>3.6</v>
      </c>
      <c r="F14" s="4" t="inlineStr">
        <is>
          <t>double bowl utility sink</t>
        </is>
      </c>
    </row>
    <row r="15">
      <c r="A15" s="4" t="inlineStr">
        <is>
          <t>WM</t>
        </is>
      </c>
      <c r="B15" s="4" t="inlineStr">
        <is>
          <t>Washing-machine inlet + drain</t>
        </is>
      </c>
      <c r="C15" s="4" t="inlineStr">
        <is>
          <t>Wet area (semi-open)</t>
        </is>
      </c>
      <c r="D15" s="4" t="n">
        <v>43.3</v>
      </c>
      <c r="E15" s="4" t="n">
        <v>8.6</v>
      </c>
      <c r="F15" s="4" t="inlineStr"/>
    </row>
    <row r="16">
      <c r="A16" s="4" t="inlineStr">
        <is>
          <t>FT</t>
        </is>
      </c>
      <c r="B16" s="4" t="inlineStr">
        <is>
          <t>Floor trap / linear drain</t>
        </is>
      </c>
      <c r="C16" s="4" t="inlineStr">
        <is>
          <t>Wet area (semi-open)</t>
        </is>
      </c>
      <c r="D16" s="4" t="n">
        <v>46</v>
      </c>
      <c r="E16" s="4" t="n">
        <v>6.5</v>
      </c>
      <c r="F16" s="4" t="inlineStr"/>
    </row>
    <row r="17">
      <c r="A17" s="4" t="inlineStr">
        <is>
          <t>TAP</t>
        </is>
      </c>
      <c r="B17" s="4" t="inlineStr">
        <is>
          <t>Tap</t>
        </is>
      </c>
      <c r="C17" s="4" t="inlineStr">
        <is>
          <t>Wet area (semi-open)</t>
        </is>
      </c>
      <c r="D17" s="4" t="n">
        <v>49.6</v>
      </c>
      <c r="E17" s="4" t="n">
        <v>7.5</v>
      </c>
      <c r="F17" s="4" t="inlineStr">
        <is>
          <t>bucket tap, low</t>
        </is>
      </c>
    </row>
    <row r="18">
      <c r="A18" s="4" t="inlineStr">
        <is>
          <t>BS</t>
        </is>
      </c>
      <c r="B18" s="4" t="inlineStr">
        <is>
          <t>Wash basin</t>
        </is>
      </c>
      <c r="C18" s="4" t="inlineStr">
        <is>
          <t>Wash link</t>
        </is>
      </c>
      <c r="D18" s="4" t="n">
        <v>43.3</v>
      </c>
      <c r="E18" s="4" t="n">
        <v>9.6</v>
      </c>
      <c r="F18" s="4" t="inlineStr">
        <is>
          <t>hand-wash basin</t>
        </is>
      </c>
    </row>
    <row r="19">
      <c r="A19" s="4" t="inlineStr">
        <is>
          <t>SK</t>
        </is>
      </c>
      <c r="B19" s="4" t="inlineStr">
        <is>
          <t>Sink</t>
        </is>
      </c>
      <c r="C19" s="4" t="inlineStr">
        <is>
          <t>Kitchen</t>
        </is>
      </c>
      <c r="D19" s="4" t="n">
        <v>53.5</v>
      </c>
      <c r="E19" s="4" t="n">
        <v>3.5</v>
      </c>
      <c r="F19" s="4" t="inlineStr">
        <is>
          <t>single bowl + drainboard, under window</t>
        </is>
      </c>
    </row>
    <row r="20">
      <c r="A20" s="4" t="inlineStr">
        <is>
          <t>RO</t>
        </is>
      </c>
      <c r="B20" s="4" t="inlineStr">
        <is>
          <t>RO purifier point</t>
        </is>
      </c>
      <c r="C20" s="4" t="inlineStr">
        <is>
          <t>Kitchen</t>
        </is>
      </c>
      <c r="D20" s="4" t="n">
        <v>52.3</v>
      </c>
      <c r="E20" s="4" t="n">
        <v>3.5</v>
      </c>
      <c r="F20" s="4" t="inlineStr"/>
    </row>
    <row r="21">
      <c r="A21" s="4" t="inlineStr">
        <is>
          <t>FT</t>
        </is>
      </c>
      <c r="B21" s="4" t="inlineStr">
        <is>
          <t>Floor trap / linear drain</t>
        </is>
      </c>
      <c r="C21" s="4" t="inlineStr">
        <is>
          <t>Kitchen</t>
        </is>
      </c>
      <c r="D21" s="4" t="n">
        <v>57</v>
      </c>
      <c r="E21" s="4" t="n">
        <v>12.5</v>
      </c>
      <c r="F21" s="4" t="inlineStr">
        <is>
          <t>cleaning trap</t>
        </is>
      </c>
    </row>
    <row r="22">
      <c r="A22" s="4" t="inlineStr">
        <is>
          <t>TAP</t>
        </is>
      </c>
      <c r="B22" s="4" t="inlineStr">
        <is>
          <t>Tap</t>
        </is>
      </c>
      <c r="C22" s="4" t="inlineStr">
        <is>
          <t>Site</t>
        </is>
      </c>
      <c r="D22" s="4" t="n">
        <v>62.8</v>
      </c>
      <c r="E22" s="4" t="n">
        <v>18.2</v>
      </c>
      <c r="F22" s="4" t="inlineStr">
        <is>
          <t>foot-wash tap at steps</t>
        </is>
      </c>
    </row>
    <row r="23">
      <c r="A23" s="4" t="inlineStr">
        <is>
          <t>TAP</t>
        </is>
      </c>
      <c r="B23" s="4" t="inlineStr">
        <is>
          <t>Tap</t>
        </is>
      </c>
      <c r="C23" s="4" t="inlineStr">
        <is>
          <t>Site</t>
        </is>
      </c>
      <c r="D23" s="4" t="n">
        <v>4.4</v>
      </c>
      <c r="E23" s="4" t="n">
        <v>10</v>
      </c>
      <c r="F23" s="4" t="inlineStr">
        <is>
          <t>garden tap</t>
        </is>
      </c>
    </row>
    <row r="24">
      <c r="A24" s="4" t="inlineStr">
        <is>
          <t>TAP</t>
        </is>
      </c>
      <c r="B24" s="4" t="inlineStr">
        <is>
          <t>Tap</t>
        </is>
      </c>
      <c r="C24" s="4" t="inlineStr">
        <is>
          <t>Site</t>
        </is>
      </c>
      <c r="D24" s="4" t="n">
        <v>64.5</v>
      </c>
      <c r="E24" s="4" t="n">
        <v>15.6</v>
      </c>
      <c r="F24" s="4" t="inlineStr">
        <is>
          <t>tulsi / garden tap</t>
        </is>
      </c>
    </row>
    <row r="25">
      <c r="A25" s="4" t="inlineStr">
        <is>
          <t>IC</t>
        </is>
      </c>
      <c r="B25" s="4" t="inlineStr">
        <is>
          <t>Inspection chamber</t>
        </is>
      </c>
      <c r="C25" s="4" t="inlineStr">
        <is>
          <t>Site</t>
        </is>
      </c>
      <c r="D25" s="4" t="n">
        <v>3.6</v>
      </c>
      <c r="E25" s="4" t="n">
        <v>19.5</v>
      </c>
      <c r="F25" s="4" t="inlineStr">
        <is>
          <t>IC-1 soil</t>
        </is>
      </c>
    </row>
    <row r="26">
      <c r="A26" s="4" t="inlineStr">
        <is>
          <t>IC</t>
        </is>
      </c>
      <c r="B26" s="4" t="inlineStr">
        <is>
          <t>Inspection chamber</t>
        </is>
      </c>
      <c r="C26" s="4" t="inlineStr">
        <is>
          <t>Site</t>
        </is>
      </c>
      <c r="D26" s="4" t="n">
        <v>35</v>
      </c>
      <c r="E26" s="4" t="n">
        <v>1.8</v>
      </c>
      <c r="F26" s="4" t="inlineStr">
        <is>
          <t>IC-2 soil</t>
        </is>
      </c>
    </row>
    <row r="27">
      <c r="A27" s="4" t="inlineStr">
        <is>
          <t>IC</t>
        </is>
      </c>
      <c r="B27" s="4" t="inlineStr">
        <is>
          <t>Inspection chamber</t>
        </is>
      </c>
      <c r="C27" s="4" t="inlineStr">
        <is>
          <t>Site</t>
        </is>
      </c>
      <c r="D27" s="4" t="n">
        <v>3.6</v>
      </c>
      <c r="E27" s="4" t="n">
        <v>1.8</v>
      </c>
      <c r="F27" s="4" t="inlineStr">
        <is>
          <t>IC-3 soil</t>
        </is>
      </c>
    </row>
    <row r="28">
      <c r="A28" s="4" t="inlineStr">
        <is>
          <t>IC</t>
        </is>
      </c>
      <c r="B28" s="4" t="inlineStr">
        <is>
          <t>Inspection chamber</t>
        </is>
      </c>
      <c r="C28" s="4" t="inlineStr">
        <is>
          <t>Site</t>
        </is>
      </c>
      <c r="D28" s="4" t="n">
        <v>3.6</v>
      </c>
      <c r="E28" s="4" t="n">
        <v>11</v>
      </c>
      <c r="F28" s="4" t="inlineStr">
        <is>
          <t>IC-4 soil</t>
        </is>
      </c>
    </row>
    <row r="29">
      <c r="A29" s="4" t="inlineStr">
        <is>
          <t>GT</t>
        </is>
      </c>
      <c r="B29" s="4" t="inlineStr">
        <is>
          <t>Grease trap</t>
        </is>
      </c>
      <c r="C29" s="4" t="inlineStr">
        <is>
          <t>Site</t>
        </is>
      </c>
      <c r="D29" s="4" t="n">
        <v>53.5</v>
      </c>
      <c r="E29" s="4" t="n">
        <v>1</v>
      </c>
      <c r="F29" s="4" t="inlineStr">
        <is>
          <t>grease trap</t>
        </is>
      </c>
    </row>
    <row r="30">
      <c r="A30" s="4" t="inlineStr">
        <is>
          <t>IC</t>
        </is>
      </c>
      <c r="B30" s="4" t="inlineStr">
        <is>
          <t>Inspection chamber</t>
        </is>
      </c>
      <c r="C30" s="4" t="inlineStr">
        <is>
          <t>Site</t>
        </is>
      </c>
      <c r="D30" s="4" t="n">
        <v>46</v>
      </c>
      <c r="E30" s="4" t="n">
        <v>1</v>
      </c>
      <c r="F30" s="4" t="inlineStr">
        <is>
          <t>IC-5 grey</t>
        </is>
      </c>
    </row>
    <row r="31">
      <c r="A31" s="4" t="inlineStr">
        <is>
          <t>IC</t>
        </is>
      </c>
      <c r="B31" s="4" t="inlineStr">
        <is>
          <t>Inspection chamber</t>
        </is>
      </c>
      <c r="C31" s="4" t="inlineStr">
        <is>
          <t>Site</t>
        </is>
      </c>
      <c r="D31" s="4" t="n">
        <v>33</v>
      </c>
      <c r="E31" s="4" t="n">
        <v>1</v>
      </c>
      <c r="F31" s="4" t="inlineStr">
        <is>
          <t>IC-6 grey</t>
        </is>
      </c>
    </row>
    <row r="32">
      <c r="A32" s="4" t="inlineStr">
        <is>
          <t>IC</t>
        </is>
      </c>
      <c r="B32" s="4" t="inlineStr">
        <is>
          <t>Inspection chamber</t>
        </is>
      </c>
      <c r="C32" s="4" t="inlineStr">
        <is>
          <t>Site</t>
        </is>
      </c>
      <c r="D32" s="4" t="n">
        <v>4.2</v>
      </c>
      <c r="E32" s="4" t="n">
        <v>1</v>
      </c>
      <c r="F32" s="4" t="inlineStr">
        <is>
          <t>IC-7 grey</t>
        </is>
      </c>
    </row>
    <row r="33">
      <c r="A33" s="4" t="inlineStr">
        <is>
          <t>IC</t>
        </is>
      </c>
      <c r="B33" s="4" t="inlineStr">
        <is>
          <t>Inspection chamber</t>
        </is>
      </c>
      <c r="C33" s="4" t="inlineStr">
        <is>
          <t>Site</t>
        </is>
      </c>
      <c r="D33" s="4" t="n">
        <v>4.2</v>
      </c>
      <c r="E33" s="4" t="n">
        <v>26.3</v>
      </c>
      <c r="F33" s="4" t="inlineStr">
        <is>
          <t>IC-8 grey</t>
        </is>
      </c>
    </row>
    <row r="34">
      <c r="A34" s="4" t="inlineStr">
        <is>
          <t>IC</t>
        </is>
      </c>
      <c r="B34" s="4" t="inlineStr">
        <is>
          <t>Inspection chamber</t>
        </is>
      </c>
      <c r="C34" s="4" t="inlineStr">
        <is>
          <t>Site</t>
        </is>
      </c>
      <c r="D34" s="4" t="n">
        <v>9.6</v>
      </c>
      <c r="E34" s="4" t="n">
        <v>26</v>
      </c>
      <c r="F34" s="4" t="inlineStr">
        <is>
          <t>IC-9 ensuite grey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60" customWidth="1" min="3" max="3"/>
    <col width="14" customWidth="1" min="4" max="4"/>
    <col width="14" customWidth="1" min="5" max="5"/>
  </cols>
  <sheetData>
    <row r="1" ht="30" customHeight="1">
      <c r="A1" s="3" t="inlineStr">
        <is>
          <t>Area</t>
        </is>
      </c>
      <c r="B1" s="3" t="inlineStr">
        <is>
          <t>Common mistake</t>
        </is>
      </c>
      <c r="C1" s="3" t="inlineStr">
        <is>
          <t>Do instead</t>
        </is>
      </c>
      <c r="D1" s="3" t="inlineStr">
        <is>
          <t>Shown on</t>
        </is>
      </c>
      <c r="E1" s="3" t="inlineStr">
        <is>
          <t>Status</t>
        </is>
      </c>
    </row>
    <row r="2">
      <c r="A2" s="4" t="inlineStr">
        <is>
          <t>Whole house: structure and site (Guntur)</t>
        </is>
      </c>
      <c r="B2" s="4" t="inlineStr">
        <is>
          <t>Ordinary shallow footings on black cotton soil: walls crack after the first monsoon as the soil swells and shrinks.</t>
        </is>
      </c>
      <c r="C2" s="4" t="inlineStr">
        <is>
          <t>Get a soil test first. Take footings below the active zone or use under-reamed piles, tie them with a plinth beam, and put a sand cushion under it.</t>
        </is>
      </c>
      <c r="D2" s="4" t="inlineStr">
        <is>
          <t>A-301, A-501/1</t>
        </is>
      </c>
      <c r="E2" s="8" t="inlineStr"/>
    </row>
    <row r="3">
      <c r="A3" s="4" t="inlineStr">
        <is>
          <t>Whole house: structure and site (Guntur)</t>
        </is>
      </c>
      <c r="B3" s="4" t="inlineStr">
        <is>
          <t>Filling the plinth with the black soil dug out of the foundations: the floor heaves and cracks.</t>
        </is>
      </c>
      <c r="C3" s="4" t="inlineStr">
        <is>
          <t>Fill with moorum or gravel compacted in 150 mm layers. Cart the black soil away or use it in the garden.</t>
        </is>
      </c>
      <c r="D3" s="4" t="inlineStr">
        <is>
          <t>A-501/1</t>
        </is>
      </c>
      <c r="E3" s="8" t="inlineStr"/>
    </row>
    <row r="4">
      <c r="A4" s="4" t="inlineStr">
        <is>
          <t>Whole house: structure and site (Guntur)</t>
        </is>
      </c>
      <c r="B4" s="4" t="inlineStr">
        <is>
          <t>Rainwater, garden beds and soak pits right next to the walls.</t>
        </is>
      </c>
      <c r="C4" s="4" t="inlineStr">
        <is>
          <t>Lay a 3 ft paved apron sloping away, run gutters to the sump, and keep soak pits and septic 6 ft+ away (here they are in the north strip).</t>
        </is>
      </c>
      <c r="D4" s="4" t="inlineStr">
        <is>
          <t>A-101, P-101</t>
        </is>
      </c>
      <c r="E4" s="8" t="inlineStr"/>
    </row>
    <row r="5">
      <c r="A5" s="4" t="inlineStr">
        <is>
          <t>Whole house: structure and site (Guntur)</t>
        </is>
      </c>
      <c r="B5" s="4" t="inlineStr">
        <is>
          <t>Planting neem, mango or coconut trees close to the house for shade: roots dry the soil and the walls crack.</t>
        </is>
      </c>
      <c r="C5" s="4" t="inlineStr">
        <is>
          <t>Keep big trees 8 ft+ away (ideally their mature height). Shade the west wall with a creeper pergola instead.</t>
        </is>
      </c>
      <c r="D5" s="4" t="inlineStr">
        <is>
          <t>A-101</t>
        </is>
      </c>
      <c r="E5" s="8" t="inlineStr"/>
    </row>
    <row r="6">
      <c r="A6" s="4" t="inlineStr">
        <is>
          <t>Whole house: structure and site (Guntur)</t>
        </is>
      </c>
      <c r="B6" s="4" t="inlineStr">
        <is>
          <t>Plinth set at road level on farm land: roads and neighbouring plots get raised later and rain flows in.</t>
        </is>
      </c>
      <c r="C6" s="4" t="inlineStr">
        <is>
          <t>FFL 2 ft above finished ground and at least 18 in above the road crown. Survey levels before fixing it.</t>
        </is>
      </c>
      <c r="D6" s="4" t="inlineStr">
        <is>
          <t>A-001, A-301</t>
        </is>
      </c>
      <c r="E6" s="8" t="inlineStr"/>
    </row>
    <row r="7">
      <c r="A7" s="4" t="inlineStr">
        <is>
          <t>Whole house: structure and site (Guntur)</t>
        </is>
      </c>
      <c r="B7" s="4" t="inlineStr">
        <is>
          <t>Skipping the anti-termite treatment or doing it after the floor.</t>
        </is>
      </c>
      <c r="C7" s="4" t="inlineStr">
        <is>
          <t>Treat before the plinth fill, at each fill layer and along the walls; get a certificate with a warranty.</t>
        </is>
      </c>
      <c r="D7" s="4" t="inlineStr">
        <is>
          <t>A-001</t>
        </is>
      </c>
      <c r="E7" s="8" t="inlineStr"/>
    </row>
    <row r="8">
      <c r="A8" s="4" t="inlineStr">
        <is>
          <t>Whole house: structure and site (Guntur)</t>
        </is>
      </c>
      <c r="B8" s="4" t="inlineStr">
        <is>
          <t>Treating AAC like brick: no mesh at joints, chases cut with a hammer. Hairline cracks appear everywhere.</t>
        </is>
      </c>
      <c r="C8" s="4" t="inlineStr">
        <is>
          <t>Put a mesh strip over every block-to-concrete joint, cut chases with a machine, and use thin-bed mortar.</t>
        </is>
      </c>
      <c r="D8" s="4" t="inlineStr">
        <is>
          <t>A-502/8</t>
        </is>
      </c>
      <c r="E8" s="8" t="inlineStr"/>
    </row>
    <row r="9">
      <c r="A9" s="4" t="inlineStr">
        <is>
          <t>Whole house: structure and site (Guntur)</t>
        </is>
      </c>
      <c r="B9" s="4" t="inlineStr">
        <is>
          <t>No lintel band or ring beam: risky in seismic zone III, and the roof trusses have nothing solid to bolt to.</t>
        </is>
      </c>
      <c r="C9" s="4" t="inlineStr">
        <is>
          <t>Run a continuous RCC lintel band at door height and a ring beam at wall top with holding-down bolts.</t>
        </is>
      </c>
      <c r="D9" s="4" t="inlineStr">
        <is>
          <t>A-301, A-501/4</t>
        </is>
      </c>
      <c r="E9" s="8" t="inlineStr"/>
    </row>
    <row r="10">
      <c r="A10" s="4" t="inlineStr">
        <is>
          <t>Whole house: structure and site (Guntur)</t>
        </is>
      </c>
      <c r="B10" s="4" t="inlineStr">
        <is>
          <t>No record of where pipes and wires run: someone drills into a pipe years later.</t>
        </is>
      </c>
      <c r="C10" s="4" t="inlineStr">
        <is>
          <t>Photograph every wall with a tape measure in view before plaster and keep the photos with the drawings.</t>
        </is>
      </c>
      <c r="D10" s="4" t="inlineStr">
        <is>
          <t>A-001</t>
        </is>
      </c>
      <c r="E10" s="8" t="inlineStr"/>
    </row>
    <row r="11">
      <c r="A11" s="4" t="inlineStr">
        <is>
          <t>Poomukham and entrance</t>
        </is>
      </c>
      <c r="B11" s="4" t="inlineStr">
        <is>
          <t>Polished granite on steps and verandah: slippery when wet.</t>
        </is>
      </c>
      <c r="C11" s="4" t="inlineStr">
        <is>
          <t>Use flamed or leather-finish granite and give steps a nosing.</t>
        </is>
      </c>
      <c r="D11" s="4" t="inlineStr">
        <is>
          <t>A-105</t>
        </is>
      </c>
      <c r="E11" s="8" t="inlineStr"/>
    </row>
    <row r="12">
      <c r="A12" s="4" t="inlineStr">
        <is>
          <t>Poomukham and entrance</t>
        </is>
      </c>
      <c r="B12" s="4" t="inlineStr">
        <is>
          <t>Uneven steps (the last one different), which make people trip.</t>
        </is>
      </c>
      <c r="C12" s="4" t="inlineStr">
        <is>
          <t>Make all risers 6 in and treads 12 in, with 3 equal risers from ground to verandah.</t>
        </is>
      </c>
      <c r="D12" s="4" t="inlineStr">
        <is>
          <t>A-202, A-301</t>
        </is>
      </c>
      <c r="E12" s="8" t="inlineStr"/>
    </row>
    <row r="13">
      <c r="A13" s="4" t="inlineStr">
        <is>
          <t>Poomukham and entrance</t>
        </is>
      </c>
      <c r="B13" s="4" t="inlineStr">
        <is>
          <t>Verandah floor at the same level as the house: wind-driven rain runs in under the main door.</t>
        </is>
      </c>
      <c r="C13" s="4" t="inlineStr">
        <is>
          <t>Set the poomukham 6 in lower, sloping out 1:100, with a raised weather bar under the main door.</t>
        </is>
      </c>
      <c r="D13" s="4" t="inlineStr">
        <is>
          <t>A-105, A-502/9</t>
        </is>
      </c>
      <c r="E13" s="8" t="inlineStr"/>
    </row>
    <row r="14">
      <c r="A14" s="4" t="inlineStr">
        <is>
          <t>Poomukham and entrance</t>
        </is>
      </c>
      <c r="B14" s="4" t="inlineStr">
        <is>
          <t>No place to wash feet or leave footwear: mud and dust come inside.</t>
        </is>
      </c>
      <c r="C14" s="4" t="inlineStr">
        <is>
          <t>Put a foot-wash tap with a small drain beside the steps, and use the arugu seats or a shoe niche for footwear.</t>
        </is>
      </c>
      <c r="D14" s="4" t="inlineStr">
        <is>
          <t>P-101, A-103</t>
        </is>
      </c>
      <c r="E14" s="8" t="inlineStr"/>
    </row>
    <row r="15">
      <c r="A15" s="4" t="inlineStr">
        <is>
          <t>Poomukham and entrance</t>
        </is>
      </c>
      <c r="B15" s="4" t="inlineStr">
        <is>
          <t>Oonjal (swing) hung later from the roof purlins.</t>
        </is>
      </c>
      <c r="C15" s="4" t="inlineStr">
        <is>
          <t>Cast or bolt swing hooks into the verandah beam, rated for 200 kg, before the roof goes on.</t>
        </is>
      </c>
      <c r="D15" s="4" t="inlineStr">
        <is>
          <t>A-103</t>
        </is>
      </c>
      <c r="E15" s="8" t="inlineStr"/>
    </row>
    <row r="16">
      <c r="A16" s="4" t="inlineStr">
        <is>
          <t>Poomukham and entrance</t>
        </is>
      </c>
      <c r="B16" s="4" t="inlineStr">
        <is>
          <t>Bell, CCTV and outdoor light added later with surface wiring.</t>
        </is>
      </c>
      <c r="C16" s="4" t="inlineStr">
        <is>
          <t>Run conduits now to the bell, camera, gate light and intercom.</t>
        </is>
      </c>
      <c r="D16" s="4" t="inlineStr">
        <is>
          <t>E-101, E-102</t>
        </is>
      </c>
      <c r="E16" s="8" t="inlineStr"/>
    </row>
    <row r="17">
      <c r="A17" s="4" t="inlineStr">
        <is>
          <t>Living</t>
        </is>
      </c>
      <c r="B17" s="4" t="inlineStr">
        <is>
          <t>TV on a wall facing a window, so glare washes it out.</t>
        </is>
      </c>
      <c r="C17" s="4" t="inlineStr">
        <is>
          <t>Put the TV on the solid south wall with the windows to the side, and run a conduit to the router.</t>
        </is>
      </c>
      <c r="D17" s="4" t="inlineStr">
        <is>
          <t>A-103, E-102</t>
        </is>
      </c>
      <c r="E17" s="8" t="inlineStr"/>
    </row>
    <row r="18">
      <c r="A18" s="4" t="inlineStr">
        <is>
          <t>Living</t>
        </is>
      </c>
      <c r="B18" s="4" t="inlineStr">
        <is>
          <t>Too few sockets, leading to extension cords across the floor.</t>
        </is>
      </c>
      <c r="C18" s="4" t="inlineStr">
        <is>
          <t>Fit sockets at both sofa ends, 2 at the TV, and a router socket on the inverter circuit.</t>
        </is>
      </c>
      <c r="D18" s="4" t="inlineStr">
        <is>
          <t>E-102</t>
        </is>
      </c>
      <c r="E18" s="8" t="inlineStr"/>
    </row>
    <row r="19">
      <c r="A19" s="4" t="inlineStr">
        <is>
          <t>Living</t>
        </is>
      </c>
      <c r="B19" s="4" t="inlineStr">
        <is>
          <t>Fan on a short rod under a high sloped ceiling: weak breeze.</t>
        </is>
      </c>
      <c r="C19" s="4" t="inlineStr">
        <is>
          <t>Use a long downrod so the blades sit about 9 ft above the floor, hung from a hook fixed to the truss.</t>
        </is>
      </c>
      <c r="D19" s="4" t="inlineStr">
        <is>
          <t>E-101</t>
        </is>
      </c>
      <c r="E19" s="8" t="inlineStr"/>
    </row>
    <row r="20">
      <c r="A20" s="4" t="inlineStr">
        <is>
          <t>Living</t>
        </is>
      </c>
      <c r="B20" s="4" t="inlineStr">
        <is>
          <t>Large west or south glazing: the room overheats in April-May.</t>
        </is>
      </c>
      <c r="C20" s="4" t="inlineStr">
        <is>
          <t>Glaze to the north and east for morning light; south only through the jali screen.</t>
        </is>
      </c>
      <c r="D20" s="4" t="inlineStr">
        <is>
          <t>A-201</t>
        </is>
      </c>
      <c r="E20" s="8" t="inlineStr"/>
    </row>
    <row r="21">
      <c r="A21" s="4" t="inlineStr">
        <is>
          <t>Living</t>
        </is>
      </c>
      <c r="B21" s="4" t="inlineStr">
        <is>
          <t>Main door swinging into the sofa or the DB.</t>
        </is>
      </c>
      <c r="C21" s="4" t="inlineStr">
        <is>
          <t>Check door swings against the furniture; put the DB on the kitchen wall, not behind the door.</t>
        </is>
      </c>
      <c r="D21" s="4" t="inlineStr">
        <is>
          <t>A-103, E-102</t>
        </is>
      </c>
      <c r="E21" s="8" t="inlineStr"/>
    </row>
    <row r="22">
      <c r="A22" s="4" t="inlineStr">
        <is>
          <t>Dining and ventilator</t>
        </is>
      </c>
      <c r="B22" s="4" t="inlineStr">
        <is>
          <t>Glass skylight over the dining: a greenhouse in Guntur summers that leaks and needs constant cleaning.</t>
        </is>
      </c>
      <c r="C22" s="4" t="inlineStr">
        <is>
          <t>No glass. Light comes in from the living, wash link and hall; a raised ventilator with a solid insulated roof and louvres on all four sides lets the hot air rising from the house escape.</t>
        </is>
      </c>
      <c r="D22" s="4" t="inlineStr">
        <is>
          <t>A-106, A-301</t>
        </is>
      </c>
      <c r="E22" s="8" t="inlineStr"/>
    </row>
    <row r="23">
      <c r="A23" s="4" t="inlineStr">
        <is>
          <t>Dining and ventilator</t>
        </is>
      </c>
      <c r="B23" s="4" t="inlineStr">
        <is>
          <t>Flat-topped roof ventilator: water ponds, leaves and droppings collect, and it leaks first.</t>
        </is>
      </c>
      <c r="C23" s="4" t="inlineStr">
        <is>
          <t>Give it a small hipped roof at the main roof pitch, tiled and clipped, with a 1'-6" overhang and drip edge.</t>
        </is>
      </c>
      <c r="D23" s="4" t="inlineStr">
        <is>
          <t>A-503</t>
        </is>
      </c>
      <c r="E23" s="8" t="inlineStr"/>
    </row>
    <row r="24">
      <c r="A24" s="4" t="inlineStr">
        <is>
          <t>Dining and ventilator</t>
        </is>
      </c>
      <c r="B24" s="4" t="inlineStr">
        <is>
          <t>Flat or shallow louvres: cyclone rain blows straight through.</t>
        </is>
      </c>
      <c r="C24" s="4" t="inlineStr">
        <is>
          <t>45 deg blades sloping down and out with a 4 in lap (no straight line through), on a sill sloped out 1:10 with a drip.</t>
        </is>
      </c>
      <c r="D24" s="4" t="inlineStr">
        <is>
          <t>A-503</t>
        </is>
      </c>
      <c r="E24" s="8" t="inlineStr"/>
    </row>
    <row r="25">
      <c r="A25" s="4" t="inlineStr">
        <is>
          <t>Dining and ventilator</t>
        </is>
      </c>
      <c r="B25" s="4" t="inlineStr">
        <is>
          <t>Relying on louvres to stop mosquitoes: they don't.</t>
        </is>
      </c>
      <c r="C25" s="4" t="inlineStr">
        <is>
          <t>SS 304 mesh about 1.2 mm (18 x 16) in a continuous frame sealed at every corner, reachable from inside for cleaning.</t>
        </is>
      </c>
      <c r="D25" s="4" t="inlineStr">
        <is>
          <t>A-503</t>
        </is>
      </c>
      <c r="E25" s="8" t="inlineStr"/>
    </row>
    <row r="26">
      <c r="A26" s="4" t="inlineStr">
        <is>
          <t>Dining and ventilator</t>
        </is>
      </c>
      <c r="B26" s="4" t="inlineStr">
        <is>
          <t>Vent shutters that leak, or need a ladder to open.</t>
        </is>
      </c>
      <c r="C26" s="4" t="inlineStr">
        <is>
          <t>Inner shutters with rubber (EPDM) seals so AC air stays in, worked by a winding handle or cord at hand height.</t>
        </is>
      </c>
      <c r="D26" s="4" t="inlineStr">
        <is>
          <t>A-503</t>
        </is>
      </c>
      <c r="E26" s="8" t="inlineStr"/>
    </row>
    <row r="27">
      <c r="A27" s="4" t="inlineStr">
        <is>
          <t>Dining and ventilator</t>
        </is>
      </c>
      <c r="B27" s="4" t="inlineStr">
        <is>
          <t>Ventilator opening straight into the roof space: attic heat and dust pour into the dining.</t>
        </is>
      </c>
      <c r="C27" s="4" t="inlineStr">
        <is>
          <t>Line the shaft from the dining ceiling to the ventilator sill with insulated fibre-cement board.</t>
        </is>
      </c>
      <c r="D27" s="4" t="inlineStr">
        <is>
          <t>A-503, A-301</t>
        </is>
      </c>
      <c r="E27" s="8" t="inlineStr"/>
    </row>
    <row r="28">
      <c r="A28" s="4" t="inlineStr">
        <is>
          <t>Dining and ventilator</t>
        </is>
      </c>
      <c r="B28" s="4" t="inlineStr">
        <is>
          <t>Dining and hall feel dim with no skylight.</t>
        </is>
      </c>
      <c r="C28" s="4" t="inlineStr">
        <is>
          <t>Use light wall and ceiling colours and keep the wash-link jali screens open. If it still feels dark after move-in, a sun tube can be added later with little work.</t>
        </is>
      </c>
      <c r="D28" s="4" t="inlineStr">
        <is>
          <t>E-101</t>
        </is>
      </c>
      <c r="E28" s="8" t="inlineStr"/>
    </row>
    <row r="29">
      <c r="A29" s="4" t="inlineStr">
        <is>
          <t>Dining and ventilator</t>
        </is>
      </c>
      <c r="B29" s="4" t="inlineStr">
        <is>
          <t>Table too big for the room: chairs hit the walls.</t>
        </is>
      </c>
      <c r="C29" s="4" t="inlineStr">
        <is>
          <t>Clear size is about 8'9" x 7'6". A 6-seat 5 x 3 ft table leaves about 2'3" each side, so use a 4-seat or round table, or let it spill into the hall.</t>
        </is>
      </c>
      <c r="D29" s="4" t="inlineStr">
        <is>
          <t>A-104</t>
        </is>
      </c>
      <c r="E29" s="8" t="inlineStr"/>
    </row>
    <row r="30">
      <c r="A30" s="4" t="inlineStr">
        <is>
          <t>Hand-wash basin (wash link)</t>
        </is>
      </c>
      <c r="B30" s="4" t="inlineStr">
        <is>
          <t>Painted wall behind the basin: stains and peeling.</t>
        </is>
      </c>
      <c r="C30" s="4" t="inlineStr">
        <is>
          <t>Put a stone or tile splash-back 2 ft high above the basin.</t>
        </is>
      </c>
      <c r="D30" s="4" t="inlineStr">
        <is>
          <t>A-502/7</t>
        </is>
      </c>
      <c r="E30" s="8" t="inlineStr"/>
    </row>
    <row r="31">
      <c r="A31" s="4" t="inlineStr">
        <is>
          <t>Hand-wash basin (wash link)</t>
        </is>
      </c>
      <c r="B31" s="4" t="inlineStr">
        <is>
          <t>Basin too high or low, or on a pedestal that traps dirt.</t>
        </is>
      </c>
      <c r="C31" s="4" t="inlineStr">
        <is>
          <t>Use a wall-hung basin with the rim at 32 in and a bottle trap, so the floor stays clear.</t>
        </is>
      </c>
      <c r="D31" s="4" t="inlineStr">
        <is>
          <t>A-502/7</t>
        </is>
      </c>
      <c r="E31" s="8" t="inlineStr"/>
    </row>
    <row r="32">
      <c r="A32" s="4" t="inlineStr">
        <is>
          <t>Hand-wash basin (wash link)</t>
        </is>
      </c>
      <c r="B32" s="4" t="inlineStr">
        <is>
          <t>Light behind the mirror, which leaves faces in shadow; socket next to the tap.</t>
        </is>
      </c>
      <c r="C32" s="4" t="inlineStr">
        <is>
          <t>Put the light above the mirror and keep the socket 2 ft from the tap at 42 in.</t>
        </is>
      </c>
      <c r="D32" s="4" t="inlineStr">
        <is>
          <t>A-502/7, E-101</t>
        </is>
      </c>
      <c r="E32" s="8" t="inlineStr"/>
    </row>
    <row r="33">
      <c r="A33" s="4" t="inlineStr">
        <is>
          <t>Kitchen</t>
        </is>
      </c>
      <c r="B33" s="4" t="inlineStr">
        <is>
          <t>Counter at the Western 36 in height: tiring for Indian cooking with tall vessels.</t>
        </is>
      </c>
      <c r="C33" s="4" t="inlineStr">
        <is>
          <t>Make the counter 34 in, with a 30-31 in section for grinding and rolling chapatis.</t>
        </is>
      </c>
      <c r="D33" s="4" t="inlineStr">
        <is>
          <t>A-502/6</t>
        </is>
      </c>
      <c r="E33" s="8" t="inlineStr"/>
    </row>
    <row r="34">
      <c r="A34" s="4" t="inlineStr">
        <is>
          <t>Kitchen</t>
        </is>
      </c>
      <c r="B34" s="4" t="inlineStr">
        <is>
          <t>White glossy floor and counter: shows every turmeric stain and is slippery with oil.</t>
        </is>
      </c>
      <c r="C34" s="4" t="inlineStr">
        <is>
          <t>Use a mid-tone matt floor and a granite counter (local Chimakurthy / Ongole).</t>
        </is>
      </c>
      <c r="D34" s="4" t="inlineStr">
        <is>
          <t>A-105</t>
        </is>
      </c>
      <c r="E34" s="8" t="inlineStr"/>
    </row>
    <row r="35">
      <c r="A35" s="4" t="inlineStr">
        <is>
          <t>Kitchen</t>
        </is>
      </c>
      <c r="B35" s="4" t="inlineStr">
        <is>
          <t>Chimney duct with long bends: weak suction and grease build-up.</t>
        </is>
      </c>
      <c r="C35" s="4" t="inlineStr">
        <is>
          <t>Hob on the east run with the chimney ducted straight out through the east wall.</t>
        </is>
      </c>
      <c r="D35" s="4" t="inlineStr">
        <is>
          <t>A-502/6, E-102</t>
        </is>
      </c>
      <c r="E35" s="8" t="inlineStr"/>
    </row>
    <row r="36">
      <c r="A36" s="4" t="inlineStr">
        <is>
          <t>Kitchen</t>
        </is>
      </c>
      <c r="B36" s="4" t="inlineStr">
        <is>
          <t>Too few counter sockets.</t>
        </is>
      </c>
      <c r="C36" s="4" t="inlineStr">
        <is>
          <t>Fit 5-6 sockets at 42 in plus 16 A for the fridge, microwave / OTG and chimney; RO point by the sink.</t>
        </is>
      </c>
      <c r="D36" s="4" t="inlineStr">
        <is>
          <t>E-102</t>
        </is>
      </c>
      <c r="E36" s="8" t="inlineStr"/>
    </row>
    <row r="37">
      <c r="A37" s="4" t="inlineStr">
        <is>
          <t>Kitchen</t>
        </is>
      </c>
      <c r="B37" s="4" t="inlineStr">
        <is>
          <t>Base cabinets standing on the floor: rot and termites.</t>
        </is>
      </c>
      <c r="C37" s="4" t="inlineStr">
        <is>
          <t>Put cabinets on 4 in legs or a granite plinth.</t>
        </is>
      </c>
      <c r="D37" s="4" t="inlineStr">
        <is>
          <t>A-502/6</t>
        </is>
      </c>
      <c r="E37" s="8" t="inlineStr"/>
    </row>
    <row r="38">
      <c r="A38" s="4" t="inlineStr">
        <is>
          <t>Kitchen</t>
        </is>
      </c>
      <c r="B38" s="4" t="inlineStr">
        <is>
          <t>Gas cylinder in a closed cabinet under the hob.</t>
        </is>
      </c>
      <c r="C38" s="4" t="inlineStr">
        <is>
          <t>Keep the cylinder in the ventilated wet area with a fixed copper / steel line and a valve through the wall.</t>
        </is>
      </c>
      <c r="D38" s="4" t="inlineStr">
        <is>
          <t>A-103</t>
        </is>
      </c>
      <c r="E38" s="8" t="inlineStr"/>
    </row>
    <row r="39">
      <c r="A39" s="4" t="inlineStr">
        <is>
          <t>Kitchen</t>
        </is>
      </c>
      <c r="B39" s="4" t="inlineStr">
        <is>
          <t>Kitchen drain without a grease trap: chokes within a year.</t>
        </is>
      </c>
      <c r="C39" s="4" t="inlineStr">
        <is>
          <t>Put a grease trap outside, before any junction.</t>
        </is>
      </c>
      <c r="D39" s="4" t="inlineStr">
        <is>
          <t>P-101</t>
        </is>
      </c>
      <c r="E39" s="8" t="inlineStr"/>
    </row>
    <row r="40">
      <c r="A40" s="4" t="inlineStr">
        <is>
          <t>Kitchen</t>
        </is>
      </c>
      <c r="B40" s="4" t="inlineStr">
        <is>
          <t>Fridge beside the hob or in direct sun.</t>
        </is>
      </c>
      <c r="C40" s="4" t="inlineStr">
        <is>
          <t>Fridge at the north end, away from the hob and the south window.</t>
        </is>
      </c>
      <c r="D40" s="4" t="inlineStr">
        <is>
          <t>A-103</t>
        </is>
      </c>
      <c r="E40" s="8" t="inlineStr"/>
    </row>
    <row r="41">
      <c r="A41" s="4" t="inlineStr">
        <is>
          <t>Wet area and store</t>
        </is>
      </c>
      <c r="B41" s="4" t="inlineStr">
        <is>
          <t>Semi-open wet area floods during heavy rain.</t>
        </is>
      </c>
      <c r="C41" s="4" t="inlineStr">
        <is>
          <t>Set the floor 3 in below the house, sloping to a drain, with a 6 in kerb under the jali wall and a projecting drip above it.</t>
        </is>
      </c>
      <c r="D41" s="4" t="inlineStr">
        <is>
          <t>A-105, A-502/9</t>
        </is>
      </c>
      <c r="E41" s="8" t="inlineStr"/>
    </row>
    <row r="42">
      <c r="A42" s="4" t="inlineStr">
        <is>
          <t>Wet area and store</t>
        </is>
      </c>
      <c r="B42" s="4" t="inlineStr">
        <is>
          <t>Washing machine with no tap, drain or socket at the right height.</t>
        </is>
      </c>
      <c r="C42" s="4" t="inlineStr">
        <is>
          <t>Provide a tap at 3 ft, a floor drain behind the machine and a splash-proof 16 A socket at 4 ft.</t>
        </is>
      </c>
      <c r="D42" s="4" t="inlineStr">
        <is>
          <t>P-101, E-102</t>
        </is>
      </c>
      <c r="E42" s="8" t="inlineStr"/>
    </row>
    <row r="43">
      <c r="A43" s="4" t="inlineStr">
        <is>
          <t>Wet area and store</t>
        </is>
      </c>
      <c r="B43" s="4" t="inlineStr">
        <is>
          <t>Store with no ventilation: musty, with insects.</t>
        </is>
      </c>
      <c r="C43" s="4" t="inlineStr">
        <is>
          <t>High jali vent with insect mesh; shelves on legs.</t>
        </is>
      </c>
      <c r="D43" s="4" t="inlineStr">
        <is>
          <t>A-401</t>
        </is>
      </c>
      <c r="E43" s="8" t="inlineStr"/>
    </row>
    <row r="44">
      <c r="A44" s="4" t="inlineStr">
        <is>
          <t>Wet area and store</t>
        </is>
      </c>
      <c r="B44" s="4" t="inlineStr">
        <is>
          <t>Inverter batteries in a bedroom or a closed cupboard.</t>
        </is>
      </c>
      <c r="C44" s="4" t="inlineStr">
        <is>
          <t>Put them in the ventilated store, away from water, on a raised stand.</t>
        </is>
      </c>
      <c r="D44" s="4" t="inlineStr">
        <is>
          <t>E-102</t>
        </is>
      </c>
      <c r="E44" s="8" t="inlineStr"/>
    </row>
    <row r="45">
      <c r="A45" s="4" t="inlineStr">
        <is>
          <t>Pooja</t>
        </is>
      </c>
      <c r="B45" s="4" t="inlineStr">
        <is>
          <t>Lamp smoke blackens the ceiling and the teak panelling.</t>
        </is>
      </c>
      <c r="C45" s="4" t="inlineStr">
        <is>
          <t>Fit a heat-proof granite or brass back panel behind the diya and a small high vent; use a washable ceiling finish.</t>
        </is>
      </c>
      <c r="D45" s="4" t="inlineStr">
        <is>
          <t>A-105</t>
        </is>
      </c>
      <c r="E45" s="8" t="inlineStr"/>
    </row>
    <row r="46">
      <c r="A46" s="4" t="inlineStr">
        <is>
          <t>Pooja</t>
        </is>
      </c>
      <c r="B46" s="4" t="inlineStr">
        <is>
          <t>Pooja sharing a wall with a toilet.</t>
        </is>
      </c>
      <c r="C46" s="4" t="inlineStr">
        <is>
          <t>Buffer it: here a wardrobe sits between pooja and Bedroom 2, and no toilet is adjacent.</t>
        </is>
      </c>
      <c r="D46" s="4" t="inlineStr">
        <is>
          <t>A-102</t>
        </is>
      </c>
      <c r="E46" s="8" t="inlineStr"/>
    </row>
    <row r="47">
      <c r="A47" s="4" t="inlineStr">
        <is>
          <t>Pooja</t>
        </is>
      </c>
      <c r="B47" s="4" t="inlineStr">
        <is>
          <t>Polished marble floor that becomes slippery with oil.</t>
        </is>
      </c>
      <c r="C47" s="4" t="inlineStr">
        <is>
          <t>Use honed (matt) marble or teak.</t>
        </is>
      </c>
      <c r="D47" s="4" t="inlineStr">
        <is>
          <t>A-105</t>
        </is>
      </c>
      <c r="E47" s="8" t="inlineStr"/>
    </row>
    <row r="48">
      <c r="A48" s="4" t="inlineStr">
        <is>
          <t>Bedrooms</t>
        </is>
      </c>
      <c r="B48" s="4" t="inlineStr">
        <is>
          <t>AC indoor unit above the bed head: cold air blows on your head all night.</t>
        </is>
      </c>
      <c r="C48" s="4" t="inlineStr">
        <is>
          <t>Mount the AC on a side or opposite wall, throwing across the bed.</t>
        </is>
      </c>
      <c r="D48" s="4" t="inlineStr">
        <is>
          <t>E-102</t>
        </is>
      </c>
      <c r="E48" s="8" t="inlineStr"/>
    </row>
    <row r="49">
      <c r="A49" s="4" t="inlineStr">
        <is>
          <t>Bedrooms</t>
        </is>
      </c>
      <c r="B49" s="4" t="inlineStr">
        <is>
          <t>Only one switchboard at the door.</t>
        </is>
      </c>
      <c r="C49" s="4" t="inlineStr">
        <is>
          <t>Add 2-way switches at the bed for the light and fan, plus bedside sockets.</t>
        </is>
      </c>
      <c r="D49" s="4" t="inlineStr">
        <is>
          <t>E-101, E-102</t>
        </is>
      </c>
      <c r="E49" s="8" t="inlineStr"/>
    </row>
    <row r="50">
      <c r="A50" s="4" t="inlineStr">
        <is>
          <t>Bedrooms</t>
        </is>
      </c>
      <c r="B50" s="4" t="inlineStr">
        <is>
          <t>Wardrobe shallower than 2 ft: hangers do not fit.</t>
        </is>
      </c>
      <c r="C50" s="4" t="inlineStr">
        <is>
          <t>Make wardrobes 2 ft deep with lofts above to the false ceiling.</t>
        </is>
      </c>
      <c r="D50" s="4" t="inlineStr">
        <is>
          <t>A-103</t>
        </is>
      </c>
      <c r="E50" s="8" t="inlineStr"/>
    </row>
    <row r="51">
      <c r="A51" s="4" t="inlineStr">
        <is>
          <t>Bedrooms</t>
        </is>
      </c>
      <c r="B51" s="4" t="inlineStr">
        <is>
          <t>2'-6" bedroom doors: a mattress or cupboard cannot go in later.</t>
        </is>
      </c>
      <c r="C51" s="4" t="inlineStr">
        <is>
          <t>Make bedroom doors 3'-0".</t>
        </is>
      </c>
      <c r="D51" s="4" t="inlineStr">
        <is>
          <t>A-401</t>
        </is>
      </c>
      <c r="E51" s="8" t="inlineStr"/>
    </row>
    <row r="52">
      <c r="A52" s="4" t="inlineStr">
        <is>
          <t>Bedrooms</t>
        </is>
      </c>
      <c r="B52" s="4" t="inlineStr">
        <is>
          <t>Curtain rods, TV brackets and fan hooks screwed into plain AAC, which pulls out.</t>
        </is>
      </c>
      <c r="C52" s="4" t="inlineStr">
        <is>
          <t>Fix timber grounds or use AAC-rated anchors, marked before plaster.</t>
        </is>
      </c>
      <c r="D52" s="4" t="inlineStr">
        <is>
          <t>A-001</t>
        </is>
      </c>
      <c r="E52" s="8" t="inlineStr"/>
    </row>
    <row r="53">
      <c r="A53" s="4" t="inlineStr">
        <is>
          <t>Bedrooms</t>
        </is>
      </c>
      <c r="B53" s="4" t="inlineStr">
        <is>
          <t>Windows without mesh, so mosquito coils every night.</t>
        </is>
      </c>
      <c r="C53" s="4" t="inlineStr">
        <is>
          <t>Put insect mesh on a separate frame on every opening.</t>
        </is>
      </c>
      <c r="D53" s="4" t="inlineStr">
        <is>
          <t>A-401</t>
        </is>
      </c>
      <c r="E53" s="8" t="inlineStr"/>
    </row>
    <row r="54">
      <c r="A54" s="4" t="inlineStr">
        <is>
          <t>Walk-in wardrobe and dressing</t>
        </is>
      </c>
      <c r="B54" s="4" t="inlineStr">
        <is>
          <t>Dark, unventilated walk-in: clothes smell musty in the monsoon.</t>
        </is>
      </c>
      <c r="C54" s="4" t="inlineStr">
        <is>
          <t>Add a high jali vent, a light and a socket for an iron or dehumidifier.</t>
        </is>
      </c>
      <c r="D54" s="4" t="inlineStr">
        <is>
          <t>A-401, E-102</t>
        </is>
      </c>
      <c r="E54" s="8" t="inlineStr"/>
    </row>
    <row r="55">
      <c r="A55" s="4" t="inlineStr">
        <is>
          <t>Walk-in wardrobe and dressing</t>
        </is>
      </c>
      <c r="B55" s="4" t="inlineStr">
        <is>
          <t>Dressing mirror lit from behind.</t>
        </is>
      </c>
      <c r="C55" s="4" t="inlineStr">
        <is>
          <t>Mount the mirror light above or beside the mirror.</t>
        </is>
      </c>
      <c r="D55" s="4" t="inlineStr">
        <is>
          <t>E-101</t>
        </is>
      </c>
      <c r="E55" s="8" t="inlineStr"/>
    </row>
    <row r="56">
      <c r="A56" s="4" t="inlineStr">
        <is>
          <t>Bathrooms</t>
        </is>
      </c>
      <c r="B56" s="4" t="inlineStr">
        <is>
          <t>Raised step at the bathroom door, which people trip on at night.</t>
        </is>
      </c>
      <c r="C56" s="4" t="inlineStr">
        <is>
          <t>Drop the bathroom 12 mm with a sloped granite threshold and no step.</t>
        </is>
      </c>
      <c r="D56" s="4" t="inlineStr">
        <is>
          <t>A-502/5</t>
        </is>
      </c>
      <c r="E56" s="8" t="inlineStr"/>
    </row>
    <row r="57">
      <c r="A57" s="4" t="inlineStr">
        <is>
          <t>Bathrooms</t>
        </is>
      </c>
      <c r="B57" s="4" t="inlineStr">
        <is>
          <t>Whole floor sloped to one trap: the entire bathroom is always wet.</t>
        </is>
      </c>
      <c r="C57" s="4" t="inlineStr">
        <is>
          <t>Separate wet and dry zones: a linear drain in the shower, the dry zone nearly flat, and a glass partition.</t>
        </is>
      </c>
      <c r="D57" s="4" t="inlineStr">
        <is>
          <t>A-502/5</t>
        </is>
      </c>
      <c r="E57" s="8" t="inlineStr"/>
    </row>
    <row r="58">
      <c r="A58" s="4" t="inlineStr">
        <is>
          <t>Bathrooms</t>
        </is>
      </c>
      <c r="B58" s="4" t="inlineStr">
        <is>
          <t>No waterproofing or flood test: damp skirting in the next bedroom within a year.</t>
        </is>
      </c>
      <c r="C58" s="4" t="inlineStr">
        <is>
          <t>Waterproof the floor, 12 in up the walls and 7 ft in the shower, then do a 48 h flood test before tiling.</t>
        </is>
      </c>
      <c r="D58" s="4" t="inlineStr">
        <is>
          <t>A-502/5, A-001</t>
        </is>
      </c>
      <c r="E58" s="8" t="inlineStr"/>
    </row>
    <row r="59">
      <c r="A59" s="4" t="inlineStr">
        <is>
          <t>Bathrooms</t>
        </is>
      </c>
      <c r="B59" s="4" t="inlineStr">
        <is>
          <t>Wooden door frame standing in the wet floor.</t>
        </is>
      </c>
      <c r="C59" s="4" t="inlineStr">
        <is>
          <t>Use a WPC / FRP shutter with the frame on a granite or WPC block.</t>
        </is>
      </c>
      <c r="D59" s="4" t="inlineStr">
        <is>
          <t>A-401, A-502/9</t>
        </is>
      </c>
      <c r="E59" s="8" t="inlineStr"/>
    </row>
    <row r="60">
      <c r="A60" s="4" t="inlineStr">
        <is>
          <t>Bathrooms</t>
        </is>
      </c>
      <c r="B60" s="4" t="inlineStr">
        <is>
          <t>Exhaust fan blowing into the false ceiling.</t>
        </is>
      </c>
      <c r="C60" s="4" t="inlineStr">
        <is>
          <t>Duct the exhaust fan straight out through the outer wall.</t>
        </is>
      </c>
      <c r="D60" s="4" t="inlineStr">
        <is>
          <t>E-101</t>
        </is>
      </c>
      <c r="E60" s="8" t="inlineStr"/>
    </row>
    <row r="61">
      <c r="A61" s="4" t="inlineStr">
        <is>
          <t>Bathrooms</t>
        </is>
      </c>
      <c r="B61" s="4" t="inlineStr">
        <is>
          <t>Geyser hidden above the false ceiling, which can't be serviced.</t>
        </is>
      </c>
      <c r="C61" s="4" t="inlineStr">
        <is>
          <t>Wall-mount it at 6'-6" with the switch outside; leave a ceiling access panel at the concealed cistern.</t>
        </is>
      </c>
      <c r="D61" s="4" t="inlineStr">
        <is>
          <t>E-102</t>
        </is>
      </c>
      <c r="E61" s="8" t="inlineStr"/>
    </row>
    <row r="62">
      <c r="A62" s="4" t="inlineStr">
        <is>
          <t>Bathrooms</t>
        </is>
      </c>
      <c r="B62" s="4" t="inlineStr">
        <is>
          <t>Black or glossy tiles and chrome fittings with Guntur's hard water: white scale shows everywhere.</t>
        </is>
      </c>
      <c r="C62" s="4" t="inlineStr">
        <is>
          <t>Use light matt tiles and matt / PVD fittings, plus a softener if hardness is high.</t>
        </is>
      </c>
      <c r="D62" s="4" t="inlineStr">
        <is>
          <t>A-105, P-101</t>
        </is>
      </c>
      <c r="E62" s="8" t="inlineStr"/>
    </row>
    <row r="63">
      <c r="A63" s="4" t="inlineStr">
        <is>
          <t>Bathrooms</t>
        </is>
      </c>
      <c r="B63" s="4" t="inlineStr">
        <is>
          <t>Ensuite squeezed to 5 ft wide: about 4'-5" clear, too tight for standard fittings.</t>
        </is>
      </c>
      <c r="C63" s="4" t="inlineStr">
        <is>
          <t>Widened by 1'-6" into the master (about 6'-0" clear): WC on the outer wall, 3'-6" vanity on the wet wall, walk-in shower across the north end. The door opens clear of all three.</t>
        </is>
      </c>
      <c r="D63" s="4" t="inlineStr">
        <is>
          <t>A-103, A-104</t>
        </is>
      </c>
      <c r="E63" s="8" t="inlineStr"/>
    </row>
    <row r="64">
      <c r="A64" s="4" t="inlineStr">
        <is>
          <t>Bathrooms</t>
        </is>
      </c>
      <c r="B64" s="4" t="inlineStr">
        <is>
          <t>No backing for grab bars later.</t>
        </is>
      </c>
      <c r="C64" s="4" t="inlineStr">
        <is>
          <t>Fix blocking in the walls beside the WC and shower now.</t>
        </is>
      </c>
      <c r="D64" s="4" t="inlineStr">
        <is>
          <t>A-502/5</t>
        </is>
      </c>
      <c r="E64" s="8" t="inlineStr"/>
    </row>
    <row r="65">
      <c r="A65" s="4" t="inlineStr">
        <is>
          <t>Home offices</t>
        </is>
      </c>
      <c r="B65" s="4" t="inlineStr">
        <is>
          <t>Window behind the screen (silhouette on video calls) or in front of it (glare).</t>
        </is>
      </c>
      <c r="C65" s="4" t="inlineStr">
        <is>
          <t>Put the desk side-on to the window; both offices here get south light from the side.</t>
        </is>
      </c>
      <c r="D65" s="4" t="inlineStr">
        <is>
          <t>A-103</t>
        </is>
      </c>
      <c r="E65" s="8" t="inlineStr"/>
    </row>
    <row r="66">
      <c r="A66" s="4" t="inlineStr">
        <is>
          <t>Home offices</t>
        </is>
      </c>
      <c r="B66" s="4" t="inlineStr">
        <is>
          <t>Not enough power or data.</t>
        </is>
      </c>
      <c r="C66" s="4" t="inlineStr">
        <is>
          <t>Fit 2 UPS sockets, 1 normal socket and a Cat6 point at each desk, with the router on the inverter.</t>
        </is>
      </c>
      <c r="D66" s="4" t="inlineStr">
        <is>
          <t>E-102</t>
        </is>
      </c>
      <c r="E66" s="8" t="inlineStr"/>
    </row>
    <row r="67">
      <c r="A67" s="4" t="inlineStr">
        <is>
          <t>Home offices</t>
        </is>
      </c>
      <c r="B67" s="4" t="inlineStr">
        <is>
          <t>Sound travelling between offices and into the bedroom.</t>
        </is>
      </c>
      <c r="C67" s="4" t="inlineStr">
        <is>
          <t>Use solid-core doors with seals, don't place sockets back to back on shared walls, and fill the wall cavity behind the bookshelf.</t>
        </is>
      </c>
      <c r="D67" s="4" t="inlineStr">
        <is>
          <t>A-401</t>
        </is>
      </c>
      <c r="E67" s="8" t="inlineStr"/>
    </row>
    <row r="68">
      <c r="A68" s="4" t="inlineStr">
        <is>
          <t>Home offices</t>
        </is>
      </c>
      <c r="B68" s="4" t="inlineStr">
        <is>
          <t>Bare wall behind you on video calls.</t>
        </is>
      </c>
      <c r="C68" s="4" t="inlineStr">
        <is>
          <t>Put a bookshelf behind the chair as the backdrop.</t>
        </is>
      </c>
      <c r="D68" s="4" t="inlineStr">
        <is>
          <t>A-103</t>
        </is>
      </c>
      <c r="E68" s="8" t="inlineStr"/>
    </row>
    <row r="69">
      <c r="A69" s="4" t="inlineStr">
        <is>
          <t>Doors and windows</t>
        </is>
      </c>
      <c r="B69" s="4" t="inlineStr">
        <is>
          <t>Solid walls and closed doors between the north bedrooms and south offices: no breeze crosses the house at night or during calls.</t>
        </is>
      </c>
      <c r="C69" s="4" t="inlineStr">
        <is>
          <t>Put a vent above inner doors, 7'-6" to 9'-0": open jali for the walk-in, store and pooja; louvres between kitchen and wet area.</t>
        </is>
      </c>
      <c r="D69" s="4" t="inlineStr">
        <is>
          <t>A-401</t>
        </is>
      </c>
      <c r="E69" s="8" t="inlineStr"/>
    </row>
    <row r="70">
      <c r="A70" s="4" t="inlineStr">
        <is>
          <t>Doors and windows</t>
        </is>
      </c>
      <c r="B70" s="4" t="inlineStr">
        <is>
          <t>Open vents above bedroom and bathroom doors: conversation, TV and smells carry into the hall and the next room.</t>
        </is>
      </c>
      <c r="C70" s="4" t="inlineStr">
        <is>
          <t>No vents at bedrooms (their big north windows, ceiling fans and AC are enough for rooms this shallow) or bathrooms (the door's bottom louvre feeds the exhaust fan); offices get a sealed glazed flap.</t>
        </is>
      </c>
      <c r="D70" s="4" t="inlineStr">
        <is>
          <t>A-401</t>
        </is>
      </c>
      <c r="E70" s="8" t="inlineStr"/>
    </row>
    <row r="71">
      <c r="A71" s="4" t="inlineStr">
        <is>
          <t>Doors and windows</t>
        </is>
      </c>
      <c r="B71" s="4" t="inlineStr">
        <is>
          <t>A 3'-6" hall: two people can't pass, and furniture won't turn the corner.</t>
        </is>
      </c>
      <c r="C71" s="4" t="inlineStr">
        <is>
          <t>Make the hall at least 4'-0" clear; here Bedroom 2 gives up 6 in for it.</t>
        </is>
      </c>
      <c r="D71" s="4" t="inlineStr">
        <is>
          <t>A-104</t>
        </is>
      </c>
      <c r="E71" s="8" t="inlineStr"/>
    </row>
    <row r="72">
      <c r="A72" s="4" t="inlineStr">
        <is>
          <t>Doors and windows</t>
        </is>
      </c>
      <c r="B72" s="4" t="inlineStr">
        <is>
          <t>No drip groove under sills and sunshades: black streaks down the walls.</t>
        </is>
      </c>
      <c r="C72" s="4" t="inlineStr">
        <is>
          <t>Slope every external sill 1:10 with a drip groove, and give every chajja a drip groove under its edge.</t>
        </is>
      </c>
      <c r="D72" s="4" t="inlineStr">
        <is>
          <t>A-501/3</t>
        </is>
      </c>
      <c r="E72" s="8" t="inlineStr"/>
    </row>
    <row r="73">
      <c r="A73" s="4" t="inlineStr">
        <is>
          <t>Doors and windows</t>
        </is>
      </c>
      <c r="B73" s="4" t="inlineStr">
        <is>
          <t>Unseasoned teak that warps and jams.</t>
        </is>
      </c>
      <c r="C73" s="4" t="inlineStr">
        <is>
          <t>Use kiln-seasoned wood, or sal / pinkado frames and UPVC on the wet side.</t>
        </is>
      </c>
      <c r="D73" s="4" t="inlineStr">
        <is>
          <t>A-401</t>
        </is>
      </c>
      <c r="E73" s="8" t="inlineStr"/>
    </row>
    <row r="74">
      <c r="A74" s="4" t="inlineStr">
        <is>
          <t>Doors and windows</t>
        </is>
      </c>
      <c r="B74" s="4" t="inlineStr">
        <is>
          <t>Mild-steel hinges and screws that rust with humidity and hard water.</t>
        </is>
      </c>
      <c r="C74" s="4" t="inlineStr">
        <is>
          <t>Use SS 304 hardware, with magnetic stoppers on every door.</t>
        </is>
      </c>
      <c r="D74" s="4" t="inlineStr">
        <is>
          <t>A-401</t>
        </is>
      </c>
      <c r="E74" s="8" t="inlineStr"/>
    </row>
    <row r="75">
      <c r="A75" s="4" t="inlineStr">
        <is>
          <t>Doors and windows</t>
        </is>
      </c>
      <c r="B75" s="4" t="inlineStr">
        <is>
          <t>Grill with no openable section: no way out in a fire.</t>
        </is>
      </c>
      <c r="C75" s="4" t="inlineStr">
        <is>
          <t>Give each bedroom one escape window with an openable grill.</t>
        </is>
      </c>
      <c r="D75" s="4" t="inlineStr">
        <is>
          <t>A-401</t>
        </is>
      </c>
      <c r="E75" s="8" t="inlineStr"/>
    </row>
    <row r="76">
      <c r="A76" s="4" t="inlineStr">
        <is>
          <t>Floors, walls and finishes</t>
        </is>
      </c>
      <c r="B76" s="4" t="inlineStr">
        <is>
          <t>Skirting stuck on top of the plaster: a dust ledge that also chips.</t>
        </is>
      </c>
      <c r="C76" s="4" t="inlineStr">
        <is>
          <t>Set the skirting flush with the plaster face, with a groove above it.</t>
        </is>
      </c>
      <c r="D76" s="4" t="inlineStr">
        <is>
          <t>A-501/2</t>
        </is>
      </c>
      <c r="E76" s="8" t="inlineStr"/>
    </row>
    <row r="77">
      <c r="A77" s="4" t="inlineStr">
        <is>
          <t>Floors, walls and finishes</t>
        </is>
      </c>
      <c r="B77" s="4" t="inlineStr">
        <is>
          <t>Tiles laid tight to the walls: they pop up (tenting) in 45 C summers.</t>
        </is>
      </c>
      <c r="C77" s="4" t="inlineStr">
        <is>
          <t>Leave 5 mm gaps at walls and movement joints every 15-20 ft, hidden by the skirting.</t>
        </is>
      </c>
      <c r="D77" s="4" t="inlineStr">
        <is>
          <t>A-501/2, A-105</t>
        </is>
      </c>
      <c r="E77" s="8" t="inlineStr"/>
    </row>
    <row r="78">
      <c r="A78" s="4" t="inlineStr">
        <is>
          <t>Floors, walls and finishes</t>
        </is>
      </c>
      <c r="B78" s="4" t="inlineStr">
        <is>
          <t>Cement grout in bathrooms turns black.</t>
        </is>
      </c>
      <c r="C78" s="4" t="inlineStr">
        <is>
          <t>Use epoxy grout in wet areas.</t>
        </is>
      </c>
      <c r="D78" s="4" t="inlineStr">
        <is>
          <t>A-001</t>
        </is>
      </c>
      <c r="E78" s="8" t="inlineStr"/>
    </row>
    <row r="79">
      <c r="A79" s="4" t="inlineStr">
        <is>
          <t>Floors, walls and finishes</t>
        </is>
      </c>
      <c r="B79" s="4" t="inlineStr">
        <is>
          <t>Exterior paint that chalks and fades in strong sun.</t>
        </is>
      </c>
      <c r="C79" s="4" t="inlineStr">
        <is>
          <t>Use a waterproof plaster additive and elastomeric or UV-stable exterior paint.</t>
        </is>
      </c>
      <c r="D79" s="4" t="inlineStr">
        <is>
          <t>A-601</t>
        </is>
      </c>
      <c r="E79" s="8" t="inlineStr"/>
    </row>
    <row r="80">
      <c r="A80" s="4" t="inlineStr">
        <is>
          <t>Roof and rainwater</t>
        </is>
      </c>
      <c r="B80" s="4" t="inlineStr">
        <is>
          <t>Clay tiles just resting on battens: a cyclone strips the edges first.</t>
        </is>
      </c>
      <c r="C80" s="4" t="inlineStr">
        <is>
          <t>Clip or screw every eave, verge, hip and ridge tile, plus every third row elsewhere.</t>
        </is>
      </c>
      <c r="D80" s="4" t="inlineStr">
        <is>
          <t>A-106, A-501/4</t>
        </is>
      </c>
      <c r="E80" s="8" t="inlineStr"/>
    </row>
    <row r="81">
      <c r="A81" s="4" t="inlineStr">
        <is>
          <t>Roof and rainwater</t>
        </is>
      </c>
      <c r="B81" s="4" t="inlineStr">
        <is>
          <t>Water creeping back under the eave tiles and into the soffit.</t>
        </is>
      </c>
      <c r="C81" s="4" t="inlineStr">
        <is>
          <t>Use a fascia with drip-edge flashing turned down into the gutter, and raise the first tile row on a tilting fillet.</t>
        </is>
      </c>
      <c r="D81" s="4" t="inlineStr">
        <is>
          <t>A-501/4</t>
        </is>
      </c>
      <c r="E81" s="8" t="inlineStr"/>
    </row>
    <row r="82">
      <c r="A82" s="4" t="inlineStr">
        <is>
          <t>Roof and rainwater</t>
        </is>
      </c>
      <c r="B82" s="4" t="inlineStr">
        <is>
          <t>No gutters: roof water splashes the plinth and soaks the foundation.</t>
        </is>
      </c>
      <c r="C82" s="4" t="inlineStr">
        <is>
          <t>Gutters on both long eaves, downpipes into the sump filter and recharge pit.</t>
        </is>
      </c>
      <c r="D82" s="4" t="inlineStr">
        <is>
          <t>A-106, P-101</t>
        </is>
      </c>
      <c r="E82" s="8" t="inlineStr"/>
    </row>
    <row r="83">
      <c r="A83" s="4" t="inlineStr">
        <is>
          <t>Roof and rainwater</t>
        </is>
      </c>
      <c r="B83" s="4" t="inlineStr">
        <is>
          <t>Valleys and skylight edges sealed only with mortar or sealant.</t>
        </is>
      </c>
      <c r="C83" s="4" t="inlineStr">
        <is>
          <t>Use 600 mm metal valley gutters, and a 9 in upstand with flashing at the ventilator.</t>
        </is>
      </c>
      <c r="D83" s="4" t="inlineStr">
        <is>
          <t>A-106</t>
        </is>
      </c>
      <c r="E83" s="8" t="inlineStr"/>
    </row>
    <row r="84">
      <c r="A84" s="4" t="inlineStr">
        <is>
          <t>Roof and rainwater</t>
        </is>
      </c>
      <c r="B84" s="4" t="inlineStr">
        <is>
          <t>No insulation under Mangalore tiles: rooms radiate heat until midnight.</t>
        </is>
      </c>
      <c r="C84" s="4" t="inlineStr">
        <is>
          <t>Add 50 mm insulation on the deck, ventilate the attic at ridge and soffits, and fit insulated false ceilings in bedrooms.</t>
        </is>
      </c>
      <c r="D84" s="4" t="inlineStr">
        <is>
          <t>A-301, A-501/4</t>
        </is>
      </c>
      <c r="E84" s="8" t="inlineStr"/>
    </row>
    <row r="85">
      <c r="A85" s="4" t="inlineStr">
        <is>
          <t>Roof and rainwater</t>
        </is>
      </c>
      <c r="B85" s="4" t="inlineStr">
        <is>
          <t>Birds, bats and rats nesting in the roof.</t>
        </is>
      </c>
      <c r="C85" s="4" t="inlineStr">
        <is>
          <t>Bird stops at the eaves and mesh at ridge vents and soffits.</t>
        </is>
      </c>
      <c r="D85" s="4" t="inlineStr">
        <is>
          <t>A-501/4</t>
        </is>
      </c>
      <c r="E85" s="8" t="inlineStr"/>
    </row>
    <row r="86">
      <c r="A86" s="4" t="inlineStr">
        <is>
          <t>Electrical</t>
        </is>
      </c>
      <c r="B86" s="4" t="inlineStr">
        <is>
          <t>One circuit for everything; cheap wire.</t>
        </is>
      </c>
      <c r="C86" s="4" t="inlineStr">
        <is>
          <t>Separate MCBs for each AC, geyser, kitchen and pump; RCCB 30 mA; FR-LSH copper wire sized per load.</t>
        </is>
      </c>
      <c r="D86" s="4" t="inlineStr">
        <is>
          <t>E-102</t>
        </is>
      </c>
      <c r="E86" s="8" t="inlineStr"/>
    </row>
    <row r="87">
      <c r="A87" s="4" t="inlineStr">
        <is>
          <t>Electrical</t>
        </is>
      </c>
      <c r="B87" s="4" t="inlineStr">
        <is>
          <t>No inverter wiring planned, so it gets rewired later.</t>
        </is>
      </c>
      <c r="C87" s="4" t="inlineStr">
        <is>
          <t>Put lights, fans, office sockets and the router on a separate inverter circuit from day one.</t>
        </is>
      </c>
      <c r="D87" s="4" t="inlineStr">
        <is>
          <t>E-101, E-102</t>
        </is>
      </c>
      <c r="E87" s="8" t="inlineStr"/>
    </row>
    <row r="88">
      <c r="A88" s="4" t="inlineStr">
        <is>
          <t>Electrical</t>
        </is>
      </c>
      <c r="B88" s="4" t="inlineStr">
        <is>
          <t>AC drain pipe dripping down the wall and sleeves forgotten.</t>
        </is>
      </c>
      <c r="C88" s="4" t="inlineStr">
        <is>
          <t>Fit a 65 mm sleeve sloping out, a drain to a gully, and ODU brackets on shaded walls.</t>
        </is>
      </c>
      <c r="D88" s="4" t="inlineStr">
        <is>
          <t>E-102</t>
        </is>
      </c>
      <c r="E88" s="8" t="inlineStr"/>
    </row>
    <row r="89">
      <c r="A89" s="4" t="inlineStr">
        <is>
          <t>Electrical</t>
        </is>
      </c>
      <c r="B89" s="4" t="inlineStr">
        <is>
          <t>No spare conduits for solar PV, CCTV, the sump pump and gate.</t>
        </is>
      </c>
      <c r="C89" s="4" t="inlineStr">
        <is>
          <t>Run empty 25 mm conduits to the DB now; it costs little at this stage.</t>
        </is>
      </c>
      <c r="D89" s="4" t="inlineStr">
        <is>
          <t>E-102, A-106</t>
        </is>
      </c>
      <c r="E89" s="8" t="inlineStr"/>
    </row>
    <row r="90">
      <c r="A90" s="4" t="inlineStr">
        <is>
          <t>Plumbing and water</t>
        </is>
      </c>
      <c r="B90" s="4" t="inlineStr">
        <is>
          <t>Pipes buried under the floor slab: leaks can't be found without breaking tiles.</t>
        </is>
      </c>
      <c r="C90" s="4" t="inlineStr">
        <is>
          <t>Run supply lines along the outside walls in clamps or shallow chases, with a valve per room.</t>
        </is>
      </c>
      <c r="D90" s="4" t="inlineStr">
        <is>
          <t>P-101</t>
        </is>
      </c>
      <c r="E90" s="8" t="inlineStr"/>
    </row>
    <row r="91">
      <c r="A91" s="4" t="inlineStr">
        <is>
          <t>Plumbing and water</t>
        </is>
      </c>
      <c r="B91" s="4" t="inlineStr">
        <is>
          <t>Overhead tank on a short stand: showers barely run.</t>
        </is>
      </c>
      <c r="C91" s="4" t="inlineStr">
        <is>
          <t>Put the tank on an 18 ft stand (about 9 ft of head over the shower roses) and add a small pressure pump for the showers.</t>
        </is>
      </c>
      <c r="D91" s="4" t="inlineStr">
        <is>
          <t>A-202, A-101</t>
        </is>
      </c>
      <c r="E91" s="8" t="inlineStr"/>
    </row>
    <row r="92">
      <c r="A92" s="4" t="inlineStr">
        <is>
          <t>Plumbing and water</t>
        </is>
      </c>
      <c r="B92" s="4" t="inlineStr">
        <is>
          <t>All waste going into the septic tank, which overloads it.</t>
        </is>
      </c>
      <c r="C92" s="4" t="inlineStr">
        <is>
          <t>Keep soil and grey water separate: soil to the septic, grey to a soak pit, with inspection chambers at every bend.</t>
        </is>
      </c>
      <c r="D92" s="4" t="inlineStr">
        <is>
          <t>P-101</t>
        </is>
      </c>
      <c r="E92" s="8" t="inlineStr"/>
    </row>
    <row r="93">
      <c r="A93" s="4" t="inlineStr">
        <is>
          <t>Plumbing and water</t>
        </is>
      </c>
      <c r="B93" s="4" t="inlineStr">
        <is>
          <t>Drinking borewell water without testing it (fluoride is common around Guntur).</t>
        </is>
      </c>
      <c r="C93" s="4" t="inlineStr">
        <is>
          <t>Test the water; RO at the kitchen for drinking, and a softener if hardness exceeds 300 mg/l.</t>
        </is>
      </c>
      <c r="D93" s="4" t="inlineStr">
        <is>
          <t>P-101</t>
        </is>
      </c>
      <c r="E93" s="8" t="inlineStr"/>
    </row>
    <row r="94">
      <c r="A94" s="4" t="inlineStr">
        <is>
          <t>Plumbing and water</t>
        </is>
      </c>
      <c r="B94" s="4" t="inlineStr">
        <is>
          <t>Sump lid at ground level: surface water and insects get in.</t>
        </is>
      </c>
      <c r="C94" s="4" t="inlineStr">
        <is>
          <t>Raise the sump cover 6 in above the paving with a locked, sealed lid, and keep it 20 ft+ from the septic.</t>
        </is>
      </c>
      <c r="D94" s="4" t="inlineStr">
        <is>
          <t>A-101</t>
        </is>
      </c>
      <c r="E94" s="8" t="inlineStr"/>
    </row>
    <row r="95">
      <c r="A95" s="4" t="inlineStr">
        <is>
          <t>Outside: yard, gate and garden</t>
        </is>
      </c>
      <c r="B95" s="4" t="inlineStr">
        <is>
          <t>Gate swinging out onto the road, or too narrow for two-wheelers.</t>
        </is>
      </c>
      <c r="C95" s="4" t="inlineStr">
        <is>
          <t>Use a 7 ft gate swinging inward or sliding, with the meter and bell in the pillar.</t>
        </is>
      </c>
      <c r="D95" s="4" t="inlineStr">
        <is>
          <t>A-101</t>
        </is>
      </c>
      <c r="E95" s="8" t="inlineStr"/>
    </row>
    <row r="96">
      <c r="A96" s="4" t="inlineStr">
        <is>
          <t>Outside: yard, gate and garden</t>
        </is>
      </c>
      <c r="B96" s="4" t="inlineStr">
        <is>
          <t>Two-wheeler bay with no slope: puddles.</t>
        </is>
      </c>
      <c r="C96" s="4" t="inlineStr">
        <is>
          <t>Pave it sloping 1:50 toward the road drain.</t>
        </is>
      </c>
      <c r="D96" s="4" t="inlineStr">
        <is>
          <t>A-101</t>
        </is>
      </c>
      <c r="E96" s="8" t="inlineStr"/>
    </row>
    <row r="97">
      <c r="A97" s="4" t="inlineStr">
        <is>
          <t>Outside: yard, gate and garden</t>
        </is>
      </c>
      <c r="B97" s="4" t="inlineStr">
        <is>
          <t>No outdoor drying space.</t>
        </is>
      </c>
      <c r="C97" s="4" t="inlineStr">
        <is>
          <t>Ceiling pulley airer in the wet area, plus a fold-away line in the south walkway (sunny, private).</t>
        </is>
      </c>
      <c r="D97" s="4" t="inlineStr">
        <is>
          <t>A-103</t>
        </is>
      </c>
      <c r="E97" s="8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70" customWidth="1" min="3" max="3"/>
    <col width="24" customWidth="1" min="4" max="4"/>
    <col width="14" customWidth="1" min="5" max="5"/>
    <col width="30" customWidth="1" min="6" max="6"/>
  </cols>
  <sheetData>
    <row r="1" ht="30" customHeight="1">
      <c r="A1" s="3" t="inlineStr">
        <is>
          <t>#</t>
        </is>
      </c>
      <c r="B1" s="3" t="inlineStr">
        <is>
          <t>Stage</t>
        </is>
      </c>
      <c r="C1" s="3" t="inlineStr">
        <is>
          <t>Check before it is covered up</t>
        </is>
      </c>
      <c r="D1" s="3" t="inlineStr">
        <is>
          <t>Who signs off</t>
        </is>
      </c>
      <c r="E1" s="3" t="inlineStr">
        <is>
          <t>Date checked</t>
        </is>
      </c>
      <c r="F1" s="3" t="inlineStr">
        <is>
          <t>Photos / notes</t>
        </is>
      </c>
    </row>
    <row r="2">
      <c r="A2" s="4" t="n">
        <v>1</v>
      </c>
      <c r="B2" s="4" t="inlineStr">
        <is>
          <t>Before design freeze</t>
        </is>
      </c>
      <c r="C2" s="4" t="inlineStr">
        <is>
          <t>Soil test report, level survey of plot and road, water quality test (TDS, hardness, fluoride)</t>
        </is>
      </c>
      <c r="D2" s="4" t="inlineStr">
        <is>
          <t>Owner, engineer</t>
        </is>
      </c>
      <c r="E2" s="8" t="inlineStr"/>
      <c r="F2" s="8" t="inlineStr"/>
    </row>
    <row r="3">
      <c r="A3" s="4" t="n">
        <v>2</v>
      </c>
      <c r="B3" s="4" t="inlineStr">
        <is>
          <t>Excavation</t>
        </is>
      </c>
      <c r="C3" s="4" t="inlineStr">
        <is>
          <t>Footing depth and bearing layer seen in the pit; no black soil left under footings</t>
        </is>
      </c>
      <c r="D3" s="4" t="inlineStr">
        <is>
          <t>Structural engineer</t>
        </is>
      </c>
      <c r="E3" s="8" t="inlineStr"/>
      <c r="F3" s="8" t="inlineStr"/>
    </row>
    <row r="4">
      <c r="A4" s="4" t="n">
        <v>3</v>
      </c>
      <c r="B4" s="4" t="inlineStr">
        <is>
          <t>Before each concrete pour</t>
        </is>
      </c>
      <c r="C4" s="4" t="inlineStr">
        <is>
          <t>Reinforcement, cover blocks, laps and column positions checked; photos taken</t>
        </is>
      </c>
      <c r="D4" s="4" t="inlineStr">
        <is>
          <t>Engineer / site supervisor</t>
        </is>
      </c>
      <c r="E4" s="8" t="inlineStr"/>
      <c r="F4" s="8" t="inlineStr"/>
    </row>
    <row r="5">
      <c r="A5" s="4" t="n">
        <v>4</v>
      </c>
      <c r="B5" s="4" t="inlineStr">
        <is>
          <t>Plinth</t>
        </is>
      </c>
      <c r="C5" s="4" t="inlineStr">
        <is>
          <t>Anti-termite treatment (certificate), fill compaction, DPC laid and cured</t>
        </is>
      </c>
      <c r="D5" s="4" t="inlineStr">
        <is>
          <t>Supervisor</t>
        </is>
      </c>
      <c r="E5" s="8" t="inlineStr"/>
      <c r="F5" s="8" t="inlineStr"/>
    </row>
    <row r="6">
      <c r="A6" s="4" t="n">
        <v>5</v>
      </c>
      <c r="B6" s="4" t="inlineStr">
        <is>
          <t>Before plaster</t>
        </is>
      </c>
      <c r="C6" s="4" t="inlineStr">
        <is>
          <t>Conduits, pipes, AC sleeves, mesh over AAC joints; photos with a tape measure in view</t>
        </is>
      </c>
      <c r="D6" s="4" t="inlineStr">
        <is>
          <t>Owner, supervisor</t>
        </is>
      </c>
      <c r="E6" s="8" t="inlineStr"/>
      <c r="F6" s="8" t="inlineStr"/>
    </row>
    <row r="7">
      <c r="A7" s="4" t="n">
        <v>6</v>
      </c>
      <c r="B7" s="4" t="inlineStr">
        <is>
          <t>Wet rooms</t>
        </is>
      </c>
      <c r="C7" s="4" t="inlineStr">
        <is>
          <t>Waterproofing coats, upturns, 48 h flood test passed before any tile is laid</t>
        </is>
      </c>
      <c r="D7" s="4" t="inlineStr">
        <is>
          <t>Owner, plumber</t>
        </is>
      </c>
      <c r="E7" s="8" t="inlineStr"/>
      <c r="F7" s="8" t="inlineStr"/>
    </row>
    <row r="8">
      <c r="A8" s="4" t="n">
        <v>7</v>
      </c>
      <c r="B8" s="4" t="inlineStr">
        <is>
          <t>Roof</t>
        </is>
      </c>
      <c r="C8" s="4" t="inlineStr">
        <is>
          <t>Truss holding-down bolts, membrane and insulation, edge tiles clipped, flashings at the ventilator and valleys</t>
        </is>
      </c>
      <c r="D8" s="4" t="inlineStr">
        <is>
          <t>Engineer, owner</t>
        </is>
      </c>
      <c r="E8" s="8" t="inlineStr"/>
      <c r="F8" s="8" t="inlineStr"/>
    </row>
    <row r="9">
      <c r="A9" s="4" t="n">
        <v>8</v>
      </c>
      <c r="B9" s="4" t="inlineStr">
        <is>
          <t>Before handover</t>
        </is>
      </c>
      <c r="C9" s="4" t="inlineStr">
        <is>
          <t>Water test on every floor slope and sill, plumbing pressure test, electrical insulation and earth test</t>
        </is>
      </c>
      <c r="D9" s="4" t="inlineStr">
        <is>
          <t>Owner, MEP</t>
        </is>
      </c>
      <c r="E9" s="8" t="inlineStr"/>
      <c r="F9" s="8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0" customWidth="1" min="3" max="3"/>
    <col width="22" customWidth="1" min="4" max="4"/>
    <col width="18" customWidth="1" min="5" max="5"/>
  </cols>
  <sheetData>
    <row r="1" ht="30" customHeight="1">
      <c r="A1" s="3" t="inlineStr">
        <is>
          <t>#</t>
        </is>
      </c>
      <c r="B1" s="3" t="inlineStr">
        <is>
          <t>Category</t>
        </is>
      </c>
      <c r="C1" s="3" t="inlineStr">
        <is>
          <t>Issue</t>
        </is>
      </c>
      <c r="D1" s="3" t="inlineStr">
        <is>
          <t>Who resolves</t>
        </is>
      </c>
      <c r="E1" s="3" t="inlineStr">
        <is>
          <t>Status</t>
        </is>
      </c>
    </row>
    <row r="2">
      <c r="A2" s="4" t="n">
        <v>1</v>
      </c>
      <c r="B2" s="4" t="inlineStr">
        <is>
          <t>Land</t>
        </is>
      </c>
      <c r="C2" s="4" t="inlineStr">
        <is>
          <t>Agricultural land: confirm conversion to non-agricultural use with the gram panchayat / collector (AP repealed the NALA Act in 2025; new process to be confirmed)</t>
        </is>
      </c>
      <c r="D2" s="4" t="inlineStr">
        <is>
          <t>Owner / surveyor</t>
        </is>
      </c>
      <c r="E2" s="8" t="inlineStr">
        <is>
          <t>Open</t>
        </is>
      </c>
    </row>
    <row r="3">
      <c r="A3" s="4" t="n">
        <v>2</v>
      </c>
      <c r="B3" s="4" t="inlineStr">
        <is>
          <t>Land</t>
        </is>
      </c>
      <c r="C3" s="4" t="inlineStr">
        <is>
          <t>Building permission route (panchayat vs DTCP / APCRDA via APDPMS) and setbacks under AP Building Rules 2017</t>
        </is>
      </c>
      <c r="D3" s="4" t="inlineStr">
        <is>
          <t>Architect</t>
        </is>
      </c>
      <c r="E3" s="8" t="inlineStr">
        <is>
          <t>Open</t>
        </is>
      </c>
    </row>
    <row r="4">
      <c r="A4" s="4" t="n">
        <v>3</v>
      </c>
      <c r="B4" s="4" t="inlineStr">
        <is>
          <t>Land</t>
        </is>
      </c>
      <c r="C4" s="4" t="inlineStr">
        <is>
          <t>Plot 27 ft x 70 ft: north wall is 2 ft from the plot line and eaves overhang the owned north strip; septic and soak pit sit in the strip</t>
        </is>
      </c>
      <c r="D4" s="4" t="inlineStr">
        <is>
          <t>Architect</t>
        </is>
      </c>
      <c r="E4" s="8" t="inlineStr">
        <is>
          <t>Open</t>
        </is>
      </c>
    </row>
    <row r="5">
      <c r="A5" s="4" t="n">
        <v>4</v>
      </c>
      <c r="B5" s="4" t="inlineStr">
        <is>
          <t>Soil</t>
        </is>
      </c>
      <c r="C5" s="4" t="inlineStr">
        <is>
          <t>Soil test (bore holes to 3 m min): black cotton soil is common in Guntur. Foundation type (isolated footings below active zone, under-reamed piles, or soil replacement) depends on it</t>
        </is>
      </c>
      <c r="D5" s="4" t="inlineStr">
        <is>
          <t>Structural engineer</t>
        </is>
      </c>
      <c r="E5" s="8" t="inlineStr">
        <is>
          <t>Open</t>
        </is>
      </c>
    </row>
    <row r="6">
      <c r="A6" s="4" t="n">
        <v>5</v>
      </c>
      <c r="B6" s="4" t="inlineStr">
        <is>
          <t>Structure</t>
        </is>
      </c>
      <c r="C6" s="4" t="inlineStr">
        <is>
          <t>RCC frame with AAC infill: columns, plinth beam, lintel band, ring beam; steel truss with cyclone tie-downs</t>
        </is>
      </c>
      <c r="D6" s="4" t="inlineStr">
        <is>
          <t>Structural engineer</t>
        </is>
      </c>
      <c r="E6" s="8" t="inlineStr">
        <is>
          <t>Open</t>
        </is>
      </c>
    </row>
    <row r="7">
      <c r="A7" s="4" t="n">
        <v>6</v>
      </c>
      <c r="B7" s="4" t="inlineStr">
        <is>
          <t>Services</t>
        </is>
      </c>
      <c r="C7" s="4" t="inlineStr">
        <is>
          <t>Groundwater: test TDS, hardness, fluoride. Plan RO for drinking and a softener for bathrooms if hardness is high</t>
        </is>
      </c>
      <c r="D7" s="4" t="inlineStr">
        <is>
          <t>Plumber / owner</t>
        </is>
      </c>
      <c r="E7" s="8" t="inlineStr">
        <is>
          <t>Open</t>
        </is>
      </c>
    </row>
    <row r="8">
      <c r="A8" s="4" t="n">
        <v>7</v>
      </c>
      <c r="B8" s="4" t="inlineStr">
        <is>
          <t>Services</t>
        </is>
      </c>
      <c r="C8" s="4" t="inlineStr">
        <is>
          <t>Septic and soak pit sizes; keep soak pits and gardens 6 ft+ from foundations in expansive soil</t>
        </is>
      </c>
      <c r="D8" s="4" t="inlineStr">
        <is>
          <t>Engineer</t>
        </is>
      </c>
      <c r="E8" s="8" t="inlineStr">
        <is>
          <t>Open</t>
        </is>
      </c>
    </row>
    <row r="9">
      <c r="A9" s="4" t="n">
        <v>8</v>
      </c>
      <c r="B9" s="4" t="inlineStr">
        <is>
          <t>Services</t>
        </is>
      </c>
      <c r="C9" s="4" t="inlineStr">
        <is>
          <t>Electrical load (with ACs), service connection size, earthing, inverter / solar PV</t>
        </is>
      </c>
      <c r="D9" s="4" t="inlineStr">
        <is>
          <t>Electrical engineer</t>
        </is>
      </c>
      <c r="E9" s="8" t="inlineStr">
        <is>
          <t>Open</t>
        </is>
      </c>
    </row>
    <row r="10">
      <c r="A10" s="4" t="n">
        <v>9</v>
      </c>
      <c r="B10" s="4" t="inlineStr">
        <is>
          <t>Phase 2</t>
        </is>
      </c>
      <c r="C10" s="4" t="inlineStr">
        <is>
          <t>Phase 2 on the north strip will block north light and sits on the septic: plan the split now</t>
        </is>
      </c>
      <c r="D10" s="4" t="inlineStr">
        <is>
          <t>Architect</t>
        </is>
      </c>
      <c r="E10" s="8" t="inlineStr">
        <is>
          <t>Deferred by owner</t>
        </is>
      </c>
    </row>
    <row r="11">
      <c r="A11" s="4" t="n">
        <v>10</v>
      </c>
      <c r="B11" s="4" t="inlineStr">
        <is>
          <t>Vastu</t>
        </is>
      </c>
      <c r="C11" s="4" t="inlineStr">
        <is>
          <t>Bed head east (master), NW ensuite, central dining, pooja north-centre, DB in SE-ish living wall</t>
        </is>
      </c>
      <c r="D11" s="4" t="inlineStr">
        <is>
          <t>Vastu consultant</t>
        </is>
      </c>
      <c r="E11" s="8" t="inlineStr">
        <is>
          <t>To confirm</t>
        </is>
      </c>
    </row>
    <row r="12">
      <c r="A12" s="4" t="n">
        <v>11</v>
      </c>
      <c r="B12" s="4" t="inlineStr">
        <is>
          <t>Climate</t>
        </is>
      </c>
      <c r="C12" s="4" t="inlineStr">
        <is>
          <t>Roof heat: insulation, ventilated attic, ventilator lantern louvres and shutters; ODU positions on shaded walls</t>
        </is>
      </c>
      <c r="D12" s="4" t="inlineStr">
        <is>
          <t>Architect</t>
        </is>
      </c>
      <c r="E12" s="8" t="inlineStr">
        <is>
          <t>Open</t>
        </is>
      </c>
    </row>
    <row r="13">
      <c r="A13" s="4" t="n">
        <v>12</v>
      </c>
      <c r="B13" s="4" t="inlineStr">
        <is>
          <t>Levels</t>
        </is>
      </c>
      <c r="C13" s="4" t="inlineStr">
        <is>
          <t>Survey road and field levels; plinth at 2 ft above finished ground (raise if site floods)</t>
        </is>
      </c>
      <c r="D13" s="4" t="inlineStr">
        <is>
          <t>Surveyor / architect</t>
        </is>
      </c>
      <c r="E13" s="8" t="inlineStr">
        <is>
          <t>Open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0" customWidth="1" min="2" max="2"/>
  </cols>
  <sheetData>
    <row r="1" ht="30" customHeight="1">
      <c r="A1" s="3" t="inlineStr">
        <is>
          <t>#</t>
        </is>
      </c>
      <c r="B1" s="3" t="inlineStr">
        <is>
          <t>Decision (agreed in concept stage)</t>
        </is>
      </c>
    </row>
    <row r="2">
      <c r="A2" s="4" t="n">
        <v>1</v>
      </c>
      <c r="B2" s="4" t="inlineStr">
        <is>
          <t>Site is in Guntur, Andhra Pradesh (farm land), not Kerala; Kerala style kept, construction adapted to local climate and soil.</t>
        </is>
      </c>
    </row>
    <row r="3">
      <c r="A3" s="4" t="n">
        <v>2</v>
      </c>
      <c r="B3" s="4" t="inlineStr">
        <is>
          <t>Plot 27 ft x 70 ft, road on east; house 55 ft x 22 ft kept; owner accepts local practice on side setbacks (to be checked).</t>
        </is>
      </c>
    </row>
    <row r="4">
      <c r="A4" s="4" t="n">
        <v>3</v>
      </c>
      <c r="B4" s="4" t="inlineStr">
        <is>
          <t>RCC frame with AAC block walls: 9 in outer, 5 in inner, 7 in where plumbing is concealed.</t>
        </is>
      </c>
    </row>
    <row r="5">
      <c r="A5" s="4" t="n">
        <v>4</v>
      </c>
      <c r="B5" s="4" t="inlineStr">
        <is>
          <t>Plinth 2 ft above finished ground; poomukham 6 in lower; bathrooms 12 mm lower with no raised threshold.</t>
        </is>
      </c>
    </row>
    <row r="6">
      <c r="A6" s="4" t="n">
        <v>5</v>
      </c>
      <c r="B6" s="4" t="inlineStr">
        <is>
          <t>AC provisions (points, sleeves, drain, outdoor-unit brackets) in both bedrooms, both offices and living; passive cooling first.</t>
        </is>
      </c>
    </row>
    <row r="7">
      <c r="A7" s="4" t="n">
        <v>6</v>
      </c>
      <c r="B7" s="4" t="inlineStr">
        <is>
          <t>Flat insulated false ceilings in bedrooms, offices, baths and kitchen; sloped ceilings in living, dining and verandah.</t>
        </is>
      </c>
    </row>
    <row r="8">
      <c r="A8" s="4" t="n">
        <v>7</v>
      </c>
      <c r="B8" s="4" t="inlineStr">
        <is>
          <t>No glass skylight: the dining gets borrowed daylight from the living, wash link and hall; a louvred ventilator lantern above it lets hot air out (no glass, so no greenhouse heat).</t>
        </is>
      </c>
    </row>
    <row r="9">
      <c r="A9" s="4" t="n">
        <v>8</v>
      </c>
      <c r="B9" s="4" t="inlineStr">
        <is>
          <t>Courtyard removed; the dining hall at plot centre keeps the Brahmasthan open, with the ventilator above.</t>
        </is>
      </c>
    </row>
    <row r="10">
      <c r="A10" s="4" t="n">
        <v>9</v>
      </c>
      <c r="B10" s="4" t="inlineStr">
        <is>
          <t>Single storey, no internal stair; roof access by fixed ladder; water tank on stand in SW rear garden.</t>
        </is>
      </c>
    </row>
    <row r="11">
      <c r="A11" s="4" t="n">
        <v>10</v>
      </c>
      <c r="B11" s="4" t="inlineStr">
        <is>
          <t>Service band on south (heat buffer); bedrooms and living get north light.</t>
        </is>
      </c>
    </row>
    <row r="12">
      <c r="A12" s="4" t="n">
        <v>11</v>
      </c>
      <c r="B12" s="4" t="inlineStr">
        <is>
          <t>Kitchen in SE; stove on east wall; semi-open wet area with jali; separate dry store.</t>
        </is>
      </c>
    </row>
    <row r="13">
      <c r="A13" s="4" t="n">
        <v>12</v>
      </c>
      <c r="B13" s="4" t="inlineStr">
        <is>
          <t>Bedroom doors widened to 3 ft; bathroom, office and store doors 2 ft 6 in.</t>
        </is>
      </c>
    </row>
    <row r="14">
      <c r="A14" s="4" t="n">
        <v>13</v>
      </c>
      <c r="B14" s="4" t="inlineStr">
        <is>
          <t>Hall widened to 4 ft clear (Bedroom 2 gives up 6 in); vents above the office, walk-in, store, pooja and kitchen doors; none at bedrooms or bathrooms (sound privacy).</t>
        </is>
      </c>
    </row>
    <row r="15">
      <c r="A15" s="4" t="n">
        <v>14</v>
      </c>
      <c r="B15" s="4" t="inlineStr">
        <is>
          <t>Ensuite widened by 1'-6" into the master (about 6'-0" x 7'-4" clear); dressing widened by the same strip; master now 9'-6" x 14'-0".</t>
        </is>
      </c>
    </row>
    <row r="16">
      <c r="A16" s="4" t="n">
        <v>15</v>
      </c>
      <c r="B16" s="4" t="inlineStr">
        <is>
          <t>Roof: Mangalore clay tiles on steel truss over insulated cement-fibre deck; all edge tiles mechanically fixed.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2026-10-30T07:56:56Z</dcterms:created>
  <dcterms:modified xsi:type="dcterms:W3CDTF">2026-10-30T07:56:56Z</dcterms:modified>
</cp:coreProperties>
</file>