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 (centred under the front gable)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6</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6</v>
      </c>
      <c r="E3" s="9" t="n">
        <v>3.5</v>
      </c>
      <c r="F3" s="9" t="n">
        <v>7</v>
      </c>
      <c r="G3" s="9">
        <f>F3-E3</f>
        <v/>
      </c>
      <c r="H3" s="4" t="inlineStr">
        <is>
          <t>Timber jali + glazed shutters</t>
        </is>
      </c>
      <c r="I3" s="8" t="inlineStr"/>
    </row>
    <row r="4">
      <c r="A4" s="4" t="inlineStr">
        <is>
          <t>W17</t>
        </is>
      </c>
      <c r="B4" s="4" t="inlineStr">
        <is>
          <t>Pooja</t>
        </is>
      </c>
      <c r="C4" s="4" t="inlineStr">
        <is>
          <t>East (to verandah)</t>
        </is>
      </c>
      <c r="D4" s="9" t="n">
        <v>2.8</v>
      </c>
      <c r="E4" s="9" t="n">
        <v>5.5</v>
      </c>
      <c r="F4" s="9" t="n">
        <v>7</v>
      </c>
      <c r="G4" s="9">
        <f>F4-E4</f>
        <v/>
      </c>
      <c r="H4" s="4" t="inlineStr">
        <is>
          <t>High vent to the poomukham, jali + mesh (lamp smoke out)</t>
        </is>
      </c>
      <c r="I4" s="8" t="inlineStr"/>
    </row>
    <row r="5">
      <c r="A5" s="4" t="inlineStr">
        <is>
          <t>W19</t>
        </is>
      </c>
      <c r="B5" s="4" t="inlineStr">
        <is>
          <t>Common bath</t>
        </is>
      </c>
      <c r="C5" s="4" t="inlineStr">
        <is>
          <t>South</t>
        </is>
      </c>
      <c r="D5" s="9" t="n">
        <v>2</v>
      </c>
      <c r="E5" s="9" t="n">
        <v>5</v>
      </c>
      <c r="F5" s="9" t="n">
        <v>7</v>
      </c>
      <c r="G5" s="9">
        <f>F5-E5</f>
        <v/>
      </c>
      <c r="H5" s="4" t="inlineStr">
        <is>
          <t>Frosted casement, top-hung vent</t>
        </is>
      </c>
      <c r="I5" s="8" t="inlineStr"/>
    </row>
    <row r="6">
      <c r="A6" s="4" t="inlineStr">
        <is>
          <t>W05</t>
        </is>
      </c>
      <c r="B6" s="4" t="inlineStr">
        <is>
          <t>Kitchen</t>
        </is>
      </c>
      <c r="C6" s="4" t="inlineStr">
        <is>
          <t>South</t>
        </is>
      </c>
      <c r="D6" s="9" t="n">
        <v>3</v>
      </c>
      <c r="E6" s="9" t="n">
        <v>3.5</v>
      </c>
      <c r="F6" s="9" t="n">
        <v>7</v>
      </c>
      <c r="G6" s="9">
        <f>F6-E6</f>
        <v/>
      </c>
      <c r="H6" s="4" t="inlineStr">
        <is>
          <t>Timber jali + glazed shutters</t>
        </is>
      </c>
      <c r="I6" s="8" t="inlineStr"/>
    </row>
    <row r="7">
      <c r="A7" s="4" t="inlineStr">
        <is>
          <t>W07</t>
        </is>
      </c>
      <c r="B7" s="4" t="inlineStr">
        <is>
          <t>Kitchen</t>
        </is>
      </c>
      <c r="C7" s="4" t="inlineStr">
        <is>
          <t>South</t>
        </is>
      </c>
      <c r="D7" s="9" t="n">
        <v>6</v>
      </c>
      <c r="E7" s="9" t="n">
        <v>3.5</v>
      </c>
      <c r="F7" s="9" t="n">
        <v>7</v>
      </c>
      <c r="G7" s="9">
        <f>F7-E7</f>
        <v/>
      </c>
      <c r="H7" s="4" t="inlineStr">
        <is>
          <t>Timber jali + glazed shutters</t>
        </is>
      </c>
      <c r="I7" s="8" t="inlineStr"/>
    </row>
    <row r="8">
      <c r="A8" s="4" t="inlineStr">
        <is>
          <t>W08</t>
        </is>
      </c>
      <c r="B8" s="4" t="inlineStr">
        <is>
          <t>Kitchen</t>
        </is>
      </c>
      <c r="C8" s="4" t="inlineStr">
        <is>
          <t>East</t>
        </is>
      </c>
      <c r="D8" s="9" t="n">
        <v>3</v>
      </c>
      <c r="E8" s="9" t="n">
        <v>3.5</v>
      </c>
      <c r="F8" s="9" t="n">
        <v>7</v>
      </c>
      <c r="G8" s="9">
        <f>F8-E8</f>
        <v/>
      </c>
      <c r="H8" s="4" t="inlineStr">
        <is>
          <t>Timber jali + glazed shutters (3 ft, north end; hob wall kept solid)</t>
        </is>
      </c>
      <c r="I8" s="8" t="inlineStr"/>
    </row>
    <row r="9">
      <c r="A9" s="4" t="inlineStr">
        <is>
          <t>W09</t>
        </is>
      </c>
      <c r="B9" s="4" t="inlineStr">
        <is>
          <t>Ensuite</t>
        </is>
      </c>
      <c r="C9" s="4" t="inlineStr">
        <is>
          <t>North</t>
        </is>
      </c>
      <c r="D9" s="9" t="n">
        <v>2</v>
      </c>
      <c r="E9" s="9" t="n">
        <v>5</v>
      </c>
      <c r="F9" s="9" t="n">
        <v>7</v>
      </c>
      <c r="G9" s="9">
        <f>F9-E9</f>
        <v/>
      </c>
      <c r="H9" s="4" t="inlineStr">
        <is>
          <t>Frosted casement</t>
        </is>
      </c>
      <c r="I9" s="8" t="inlineStr"/>
    </row>
    <row r="10">
      <c r="A10" s="4" t="inlineStr">
        <is>
          <t>W10</t>
        </is>
      </c>
      <c r="B10" s="4" t="inlineStr">
        <is>
          <t>Ensuite</t>
        </is>
      </c>
      <c r="C10" s="4" t="inlineStr">
        <is>
          <t>West</t>
        </is>
      </c>
      <c r="D10" s="9" t="n">
        <v>2</v>
      </c>
      <c r="E10" s="9" t="n">
        <v>5</v>
      </c>
      <c r="F10" s="9" t="n">
        <v>7</v>
      </c>
      <c r="G10" s="9">
        <f>F10-E10</f>
        <v/>
      </c>
      <c r="H10" s="4" t="inlineStr">
        <is>
          <t>High jali vent</t>
        </is>
      </c>
      <c r="I10" s="8" t="inlineStr"/>
    </row>
    <row r="11">
      <c r="A11" s="4" t="inlineStr">
        <is>
          <t>W11</t>
        </is>
      </c>
      <c r="B11" s="4" t="inlineStr">
        <is>
          <t>Master bedroom</t>
        </is>
      </c>
      <c r="C11" s="4" t="inlineStr">
        <is>
          <t>North</t>
        </is>
      </c>
      <c r="D11" s="9" t="n">
        <v>6</v>
      </c>
      <c r="E11" s="9" t="n">
        <v>3</v>
      </c>
      <c r="F11" s="9" t="n">
        <v>7</v>
      </c>
      <c r="G11" s="9">
        <f>F11-E11</f>
        <v/>
      </c>
      <c r="H11" s="4" t="inlineStr">
        <is>
          <t>Teak casement, glazed</t>
        </is>
      </c>
      <c r="I11" s="8" t="inlineStr"/>
    </row>
    <row r="12">
      <c r="A12" s="4" t="inlineStr">
        <is>
          <t>W12</t>
        </is>
      </c>
      <c r="B12" s="4" t="inlineStr">
        <is>
          <t>Bedroom 2</t>
        </is>
      </c>
      <c r="C12" s="4" t="inlineStr">
        <is>
          <t>North</t>
        </is>
      </c>
      <c r="D12" s="9" t="n">
        <v>6</v>
      </c>
      <c r="E12" s="9" t="n">
        <v>3</v>
      </c>
      <c r="F12" s="9" t="n">
        <v>7</v>
      </c>
      <c r="G12" s="9">
        <f>F12-E12</f>
        <v/>
      </c>
      <c r="H12" s="4" t="inlineStr">
        <is>
          <t>Teak casement, glazed (6 ft)</t>
        </is>
      </c>
      <c r="I12" s="8" t="inlineStr"/>
    </row>
    <row r="13">
      <c r="A13" s="4" t="inlineStr">
        <is>
          <t>W13</t>
        </is>
      </c>
      <c r="B13" s="4" t="inlineStr">
        <is>
          <t>Bath 2</t>
        </is>
      </c>
      <c r="C13" s="4" t="inlineStr">
        <is>
          <t>North</t>
        </is>
      </c>
      <c r="D13" s="9" t="n">
        <v>2</v>
      </c>
      <c r="E13" s="9" t="n">
        <v>5</v>
      </c>
      <c r="F13" s="9" t="n">
        <v>7</v>
      </c>
      <c r="G13" s="9">
        <f>F13-E13</f>
        <v/>
      </c>
      <c r="H13" s="4" t="inlineStr">
        <is>
          <t>Frosted casement, top-hung vent</t>
        </is>
      </c>
      <c r="I13" s="8" t="inlineStr"/>
    </row>
    <row r="14">
      <c r="A14" s="4" t="inlineStr">
        <is>
          <t>W20</t>
        </is>
      </c>
      <c r="B14" s="4" t="inlineStr">
        <is>
          <t>Bedroom 2</t>
        </is>
      </c>
      <c r="C14" s="4" t="inlineStr"/>
      <c r="D14" s="9" t="n">
        <v>4</v>
      </c>
      <c r="E14" s="9" t="n">
        <v>7.5</v>
      </c>
      <c r="F14" s="9" t="n">
        <v>9</v>
      </c>
      <c r="G14" s="9">
        <f>F14-E14</f>
        <v/>
      </c>
      <c r="H14" s="4" t="inlineStr">
        <is>
          <t>High jali vent to the sitting area, above the bed head (cross-ventilation with W12 and W03)</t>
        </is>
      </c>
      <c r="I14" s="8" t="inlineStr"/>
    </row>
    <row r="15">
      <c r="A15" s="4" t="inlineStr">
        <is>
          <t>W18</t>
        </is>
      </c>
      <c r="B15" s="4" t="inlineStr">
        <is>
          <t>Dining bay</t>
        </is>
      </c>
      <c r="C15" s="4" t="inlineStr">
        <is>
          <t>North</t>
        </is>
      </c>
      <c r="D15" s="9" t="n">
        <v>6</v>
      </c>
      <c r="E15" s="9" t="n">
        <v>3</v>
      </c>
      <c r="F15" s="9" t="n">
        <v>7</v>
      </c>
      <c r="G15" s="9">
        <f>F15-E15</f>
        <v/>
      </c>
      <c r="H15" s="4" t="inlineStr">
        <is>
          <t>Teak casement, glazed (north light for the dining)</t>
        </is>
      </c>
      <c r="I15" s="8" t="inlineStr"/>
    </row>
    <row r="16">
      <c r="A16" s="4" t="inlineStr">
        <is>
          <t>W14</t>
        </is>
      </c>
      <c r="B16" s="4" t="inlineStr">
        <is>
          <t>Living</t>
        </is>
      </c>
      <c r="C16" s="4" t="inlineStr">
        <is>
          <t>North</t>
        </is>
      </c>
      <c r="D16" s="9" t="n">
        <v>6</v>
      </c>
      <c r="E16" s="9" t="n">
        <v>3</v>
      </c>
      <c r="F16" s="9" t="n">
        <v>7</v>
      </c>
      <c r="G16" s="9">
        <f>F16-E16</f>
        <v/>
      </c>
      <c r="H16" s="4" t="inlineStr">
        <is>
          <t>Teak casement, glazed (6 ft)</t>
        </is>
      </c>
      <c r="I16" s="8" t="inlineStr"/>
    </row>
    <row r="17">
      <c r="A17" s="4" t="inlineStr">
        <is>
          <t>W16</t>
        </is>
      </c>
      <c r="B17" s="4" t="inlineStr">
        <is>
          <t>Serving counter and hand-wash basin</t>
        </is>
      </c>
      <c r="C17" s="4" t="inlineStr">
        <is>
          <t>South</t>
        </is>
      </c>
      <c r="D17" s="9" t="n">
        <v>6</v>
      </c>
      <c r="E17" s="9" t="n">
        <v>3.5</v>
      </c>
      <c r="F17" s="9" t="n">
        <v>7</v>
      </c>
      <c r="G17" s="9">
        <f>F17-E17</f>
        <v/>
      </c>
      <c r="H17" s="4" t="inlineStr">
        <is>
          <t>Timber jali + glazed shutters (6 ft, over the counter)</t>
        </is>
      </c>
      <c r="I17" s="8" t="inlineStr"/>
    </row>
    <row r="18">
      <c r="A18" s="4" t="inlineStr">
        <is>
          <t>SK1</t>
        </is>
      </c>
      <c r="B18" s="4" t="inlineStr">
        <is>
          <t>Roof</t>
        </is>
      </c>
      <c r="C18" s="4" t="inlineStr">
        <is>
          <t>Up</t>
        </is>
      </c>
      <c r="D18" s="9" t="inlineStr"/>
      <c r="E18" s="9" t="inlineStr"/>
      <c r="F18" s="9" t="inlineStr"/>
      <c r="G18" s="9" t="inlineStr"/>
      <c r="H18"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8" s="8" t="inlineStr"/>
    </row>
    <row r="19">
      <c r="A19" s="4" t="inlineStr">
        <is>
          <t>GV1-3</t>
        </is>
      </c>
      <c r="B19" s="4" t="inlineStr">
        <is>
          <t>Roof</t>
        </is>
      </c>
      <c r="C19" s="4" t="inlineStr">
        <is>
          <t>Up</t>
        </is>
      </c>
      <c r="D19" s="9" t="inlineStr"/>
      <c r="E19" s="9" t="inlineStr"/>
      <c r="F19" s="9" t="inlineStr"/>
      <c r="G19" s="9" t="inlineStr"/>
      <c r="H19" s="4" t="inlineStr">
        <is>
          <t>Three glazed/jali vents in front gable (mukhappu), morning light into living</t>
        </is>
      </c>
      <c r="I19"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 with a mirror cabinet above (toothbrushes, medicines)</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Floating bedside shelf with a drawer, reading light and charging point above (5 in walls are too thin for recessed niches)</t>
        </is>
      </c>
      <c r="D12" s="4" t="inlineStr">
        <is>
          <t>Loose furniture</t>
        </is>
      </c>
      <c r="E12" s="4" t="n">
        <v>1</v>
      </c>
      <c r="F12" s="4" t="n">
        <v>1</v>
      </c>
      <c r="G12" s="4" t="n">
        <v>2</v>
      </c>
      <c r="H12" s="4" t="inlineStr">
        <is>
          <t>Teak, wall-hung</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 with a mirror cabinet above</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 with a mirror cabinet above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F63</t>
        </is>
      </c>
      <c r="B20" s="4" t="inlineStr">
        <is>
          <t>Ensuite</t>
        </is>
      </c>
      <c r="C20" s="4" t="inlineStr">
        <is>
          <t>Recessed shower niche 1' x 1'-7" x 3 in deep, tiled, sloped sill (north wall below the window)</t>
        </is>
      </c>
      <c r="D20" s="4" t="inlineStr">
        <is>
          <t>Sanitary / plumbing</t>
        </is>
      </c>
      <c r="E20" s="4" t="n">
        <v>1</v>
      </c>
      <c r="F20" s="4" t="n">
        <v>0.22</v>
      </c>
      <c r="G20" s="4" t="n">
        <v>1</v>
      </c>
      <c r="H20" s="4" t="inlineStr">
        <is>
          <t>Tile lined, waterproofed</t>
        </is>
      </c>
      <c r="I20" s="10" t="n"/>
      <c r="J20" s="11">
        <f>G20*I20</f>
        <v/>
      </c>
      <c r="K20" s="8" t="inlineStr"/>
      <c r="L20" s="8" t="inlineStr"/>
    </row>
    <row r="21">
      <c r="A21" s="4" t="inlineStr">
        <is>
          <t>F64</t>
        </is>
      </c>
      <c r="B21" s="4" t="inlineStr">
        <is>
          <t>Common bath</t>
        </is>
      </c>
      <c r="C21" s="4" t="inlineStr">
        <is>
          <t>Recessed shower niche 1' x 1'-7" x 3 in deep, tiled, sloped sill (south wall below the window)</t>
        </is>
      </c>
      <c r="D21" s="4" t="inlineStr">
        <is>
          <t>Sanitary / plumbing</t>
        </is>
      </c>
      <c r="E21" s="4" t="n">
        <v>1</v>
      </c>
      <c r="F21" s="4" t="n">
        <v>0.22</v>
      </c>
      <c r="G21" s="4" t="n">
        <v>1</v>
      </c>
      <c r="H21" s="4" t="inlineStr">
        <is>
          <t>Tile lined, waterproofed</t>
        </is>
      </c>
      <c r="I21" s="10" t="n"/>
      <c r="J21" s="11">
        <f>G21*I21</f>
        <v/>
      </c>
      <c r="K21" s="8" t="inlineStr"/>
      <c r="L21" s="8" t="inlineStr"/>
    </row>
    <row r="22">
      <c r="A22" s="4" t="inlineStr">
        <is>
          <t>F65</t>
        </is>
      </c>
      <c r="B22" s="4" t="inlineStr">
        <is>
          <t>Bath 2</t>
        </is>
      </c>
      <c r="C22" s="4" t="inlineStr">
        <is>
          <t>Recessed shower niche 1' x 1'-10" x 3 in deep in the 7 in wet wall, tiled, sloped sill</t>
        </is>
      </c>
      <c r="D22" s="4" t="inlineStr">
        <is>
          <t>Sanitary / plumbing</t>
        </is>
      </c>
      <c r="E22" s="4" t="n">
        <v>0.23</v>
      </c>
      <c r="F22" s="4" t="n">
        <v>1</v>
      </c>
      <c r="G22" s="4" t="n">
        <v>1</v>
      </c>
      <c r="H22" s="4" t="inlineStr">
        <is>
          <t>Tile lined, waterproofed</t>
        </is>
      </c>
      <c r="I22" s="10" t="n"/>
      <c r="J22" s="11">
        <f>G22*I22</f>
        <v/>
      </c>
      <c r="K22" s="8" t="inlineStr"/>
      <c r="L22" s="8" t="inlineStr"/>
    </row>
    <row r="23">
      <c r="A23" s="4" t="inlineStr">
        <is>
          <t>F50</t>
        </is>
      </c>
      <c r="B23" s="4" t="inlineStr">
        <is>
          <t>Bath 2</t>
        </is>
      </c>
      <c r="C23" s="4" t="inlineStr">
        <is>
          <t>Fixed glass splash panel at the south edge of the 3' x 3'-6" wet zone (north-east)</t>
        </is>
      </c>
      <c r="D23" s="4" t="inlineStr">
        <is>
          <t>Loose furniture</t>
        </is>
      </c>
      <c r="E23" s="4" t="n">
        <v>1.5</v>
      </c>
      <c r="F23" s="4" t="n">
        <v>0.15</v>
      </c>
      <c r="G23" s="4" t="n">
        <v>1</v>
      </c>
      <c r="H23" s="4" t="inlineStr">
        <is>
          <t>8 mm toughened glass</t>
        </is>
      </c>
      <c r="I23" s="10" t="n"/>
      <c r="J23" s="11">
        <f>G23*I23</f>
        <v/>
      </c>
      <c r="K23" s="8" t="inlineStr"/>
      <c r="L23" s="8" t="inlineStr"/>
    </row>
    <row r="24">
      <c r="A24" s="4" t="inlineStr">
        <is>
          <t>F20</t>
        </is>
      </c>
      <c r="B24" s="4" t="inlineStr">
        <is>
          <t>Bedroom 2</t>
        </is>
      </c>
      <c r="C24" s="4" t="inlineStr">
        <is>
          <t>Queen bed 5' x 6'6" + headboard, head to the east wall (padded headboard: TV on the other side)</t>
        </is>
      </c>
      <c r="D24" s="4" t="inlineStr">
        <is>
          <t>Loose furniture</t>
        </is>
      </c>
      <c r="E24" s="4" t="n">
        <v>6.35</v>
      </c>
      <c r="F24" s="4" t="n">
        <v>5</v>
      </c>
      <c r="G24" s="4" t="n">
        <v>1</v>
      </c>
      <c r="H24" s="4" t="inlineStr">
        <is>
          <t>Teak</t>
        </is>
      </c>
      <c r="I24" s="10" t="n"/>
      <c r="J24" s="11">
        <f>G24*I24</f>
        <v/>
      </c>
      <c r="K24" s="8" t="inlineStr"/>
      <c r="L24" s="8" t="inlineStr"/>
    </row>
    <row r="25">
      <c r="A25" s="4" t="inlineStr">
        <is>
          <t>F51</t>
        </is>
      </c>
      <c r="B25" s="4" t="inlineStr">
        <is>
          <t>Bedroom 2</t>
        </is>
      </c>
      <c r="C25" s="4" t="inlineStr">
        <is>
          <t>Floating bedside shelf with a drawer, reading light and charging point above</t>
        </is>
      </c>
      <c r="D25" s="4" t="inlineStr">
        <is>
          <t>Loose furniture</t>
        </is>
      </c>
      <c r="E25" s="4" t="n">
        <v>1</v>
      </c>
      <c r="F25" s="4" t="n">
        <v>1</v>
      </c>
      <c r="G25" s="4" t="n">
        <v>2</v>
      </c>
      <c r="H25" s="4" t="inlineStr">
        <is>
          <t>Teak, wall-hung</t>
        </is>
      </c>
      <c r="I25" s="10" t="n"/>
      <c r="J25" s="11">
        <f>G25*I25</f>
        <v/>
      </c>
      <c r="K25" s="8" t="inlineStr"/>
      <c r="L25" s="8" t="inlineStr"/>
    </row>
    <row r="26">
      <c r="A26" s="4" t="inlineStr">
        <is>
          <t>F22</t>
        </is>
      </c>
      <c r="B26" s="4" t="inlineStr">
        <is>
          <t>Bedroom 2</t>
        </is>
      </c>
      <c r="C26" s="4" t="inlineStr">
        <is>
          <t>Work table 4' x 2' with monitor (east wall, north of the bed; north window to the side)</t>
        </is>
      </c>
      <c r="D26" s="4" t="inlineStr">
        <is>
          <t>Loose furniture</t>
        </is>
      </c>
      <c r="E26" s="4" t="n">
        <v>2</v>
      </c>
      <c r="F26" s="4" t="n">
        <v>4</v>
      </c>
      <c r="G26" s="4" t="n">
        <v>1</v>
      </c>
      <c r="H26" s="4" t="inlineStr">
        <is>
          <t>Teak / ply, cable tray, monitor arm</t>
        </is>
      </c>
      <c r="I26" s="10" t="n"/>
      <c r="J26" s="11">
        <f>G26*I26</f>
        <v/>
      </c>
      <c r="K26" s="8" t="inlineStr"/>
      <c r="L26" s="8" t="inlineStr"/>
    </row>
    <row r="27">
      <c r="A27" s="4" t="inlineStr">
        <is>
          <t>F23</t>
        </is>
      </c>
      <c r="B27" s="4" t="inlineStr">
        <is>
          <t>Bedroom 2</t>
        </is>
      </c>
      <c r="C27" s="4" t="inlineStr">
        <is>
          <t>Built-in wardrobe 6' with a mirror door (west wall, shared with the master: also a sound buffer)</t>
        </is>
      </c>
      <c r="D27" s="4" t="inlineStr">
        <is>
          <t>Built-in joinery</t>
        </is>
      </c>
      <c r="E27" s="4" t="n">
        <v>2</v>
      </c>
      <c r="F27" s="4" t="n">
        <v>6</v>
      </c>
      <c r="G27" s="4" t="n">
        <v>1</v>
      </c>
      <c r="H27" s="4" t="inlineStr">
        <is>
          <t>Ply + laminate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 where vessels are washed</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F62</t>
        </is>
      </c>
      <c r="B31" s="4" t="inlineStr">
        <is>
          <t>Wet area</t>
        </is>
      </c>
      <c r="C31" s="4" t="inlineStr">
        <is>
          <t>Dish-drying rack over the utility sink (Swedish diskskap idea): steel rods, drip tray draining into the sink</t>
        </is>
      </c>
      <c r="D31" s="4" t="inlineStr">
        <is>
          <t>Sanitary / plumbing</t>
        </is>
      </c>
      <c r="E31" s="4" t="n">
        <v>0.8</v>
      </c>
      <c r="F31" s="4" t="n">
        <v>2.1</v>
      </c>
      <c r="G31" s="4" t="n">
        <v>1</v>
      </c>
      <c r="H31" s="4" t="inlineStr">
        <is>
          <t>SS 304</t>
        </is>
      </c>
      <c r="I31" s="10" t="n"/>
      <c r="J31" s="11">
        <f>G31*I31</f>
        <v/>
      </c>
      <c r="K31" s="8" t="inlineStr"/>
      <c r="L31" s="8" t="inlineStr"/>
    </row>
    <row r="32">
      <c r="A32" s="4" t="inlineStr">
        <is>
          <t>F61</t>
        </is>
      </c>
      <c r="B32" s="4" t="inlineStr">
        <is>
          <t>Wet area</t>
        </is>
      </c>
      <c r="C32" s="4" t="inlineStr">
        <is>
          <t>Ceiling clothes airer on pulleys (lower to load, raise to dry), fixed to the roof truss</t>
        </is>
      </c>
      <c r="D32" s="4" t="inlineStr">
        <is>
          <t>Built-in joinery</t>
        </is>
      </c>
      <c r="E32" s="4" t="n">
        <v>3.8</v>
      </c>
      <c r="F32" s="4" t="n">
        <v>1.4</v>
      </c>
      <c r="G32" s="4" t="n">
        <v>1</v>
      </c>
      <c r="H32" s="4" t="inlineStr">
        <is>
          <t>Aluminium rails, nylon rope, cleat on the wall</t>
        </is>
      </c>
      <c r="I32" s="10" t="n"/>
      <c r="J32" s="11">
        <f>G32*I32</f>
        <v/>
      </c>
      <c r="K32" s="8" t="inlineStr"/>
      <c r="L32" s="8" t="inlineStr"/>
    </row>
    <row r="33">
      <c r="A33" s="4" t="inlineStr">
        <is>
          <t>F30</t>
        </is>
      </c>
      <c r="B33" s="4" t="inlineStr">
        <is>
          <t>Wet area</t>
        </is>
      </c>
      <c r="C33" s="4" t="inlineStr">
        <is>
          <t>Washing machine bay 2' x 2' (covered back corner, 2 in clear of the bath wall)</t>
        </is>
      </c>
      <c r="D33" s="4" t="inlineStr">
        <is>
          <t>Appliance / joinery</t>
        </is>
      </c>
      <c r="E33" s="4" t="n">
        <v>1.9</v>
      </c>
      <c r="F33" s="4" t="n">
        <v>1.9</v>
      </c>
      <c r="G33" s="4" t="n">
        <v>1</v>
      </c>
      <c r="H33" s="4" t="inlineStr">
        <is>
          <t>Splash-proof socket, floor drain</t>
        </is>
      </c>
      <c r="I33" s="10" t="n"/>
      <c r="J33" s="11">
        <f>G33*I33</f>
        <v/>
      </c>
      <c r="K33" s="8" t="inlineStr"/>
      <c r="L33" s="8" t="inlineStr"/>
    </row>
    <row r="34">
      <c r="A34" s="4" t="inlineStr">
        <is>
          <t>F31</t>
        </is>
      </c>
      <c r="B34" s="4" t="inlineStr">
        <is>
          <t>Wet area</t>
        </is>
      </c>
      <c r="C34" s="4" t="inlineStr">
        <is>
          <t>Fold-away clothesline in the south walkway</t>
        </is>
      </c>
      <c r="D34" s="4" t="inlineStr">
        <is>
          <t>Loose furniture</t>
        </is>
      </c>
      <c r="E34" s="4" t="n">
        <v>4</v>
      </c>
      <c r="F34" s="4" t="n">
        <v>1.8</v>
      </c>
      <c r="G34" s="4" t="n">
        <v>1</v>
      </c>
      <c r="H34" s="4" t="inlineStr">
        <is>
          <t>SS wire, wall brackets</t>
        </is>
      </c>
      <c r="I34" s="10" t="n"/>
      <c r="J34" s="11">
        <f>G34*I34</f>
        <v/>
      </c>
      <c r="K34" s="8" t="inlineStr"/>
      <c r="L34" s="8" t="inlineStr"/>
    </row>
    <row r="35">
      <c r="A35" s="4" t="inlineStr">
        <is>
          <t>F44</t>
        </is>
      </c>
      <c r="B35" s="4" t="inlineStr">
        <is>
          <t>Wet area</t>
        </is>
      </c>
      <c r="C35" s="4" t="inlineStr">
        <is>
          <t>Tall slim utility cupboard (brooms, mops, detergents)</t>
        </is>
      </c>
      <c r="D35" s="4" t="inlineStr">
        <is>
          <t>Built-in joinery</t>
        </is>
      </c>
      <c r="E35" s="4" t="n">
        <v>1.2</v>
      </c>
      <c r="F35" s="4" t="n">
        <v>1.2</v>
      </c>
      <c r="G35" s="4" t="n">
        <v>1</v>
      </c>
      <c r="H35" s="4" t="inlineStr">
        <is>
          <t>Ply + laminate on legs, louvred doors</t>
        </is>
      </c>
      <c r="I35" s="10" t="n"/>
      <c r="J35" s="11">
        <f>G35*I35</f>
        <v/>
      </c>
      <c r="K35" s="8" t="inlineStr"/>
      <c r="L35" s="8" t="inlineStr"/>
    </row>
    <row r="36">
      <c r="A36" s="4" t="inlineStr">
        <is>
          <t>F32</t>
        </is>
      </c>
      <c r="B36" s="4" t="inlineStr">
        <is>
          <t>Sitting and serving area</t>
        </is>
      </c>
      <c r="C36" s="4" t="inlineStr">
        <is>
          <t>Hand-wash basin at the east end of the serving counter, just outside the common bath (after meals); mirror on the side wall</t>
        </is>
      </c>
      <c r="D36" s="4" t="inlineStr">
        <is>
          <t>Sanitary / plumbing</t>
        </is>
      </c>
      <c r="E36" s="4" t="n">
        <v>1.9</v>
      </c>
      <c r="F36" s="4" t="n">
        <v>2</v>
      </c>
      <c r="G36" s="4" t="n">
        <v>1</v>
      </c>
      <c r="H36" s="4" t="inlineStr">
        <is>
          <t>Ceramic basin in granite top</t>
        </is>
      </c>
      <c r="I36" s="10" t="n"/>
      <c r="J36" s="11">
        <f>G36*I36</f>
        <v/>
      </c>
      <c r="K36" s="8" t="inlineStr"/>
      <c r="L36" s="8" t="inlineStr"/>
    </row>
    <row r="37">
      <c r="A37" s="4" t="inlineStr">
        <is>
          <t>F33</t>
        </is>
      </c>
      <c r="B37" s="4" t="inlineStr">
        <is>
          <t>Sitting and serving area</t>
        </is>
      </c>
      <c r="C37" s="4" t="inlineStr">
        <is>
          <t>Serving counter with crockery cabinets above, 6 ft</t>
        </is>
      </c>
      <c r="D37" s="4" t="inlineStr">
        <is>
          <t>Built-in joinery</t>
        </is>
      </c>
      <c r="E37" s="4" t="n">
        <v>6</v>
      </c>
      <c r="F37" s="4" t="n">
        <v>2</v>
      </c>
      <c r="G37" s="4" t="n">
        <v>1</v>
      </c>
      <c r="H37" s="4" t="inlineStr">
        <is>
          <t>Granite top, teak + glass shutters</t>
        </is>
      </c>
      <c r="I37" s="10" t="n"/>
      <c r="J37" s="11">
        <f>G37*I37</f>
        <v/>
      </c>
      <c r="K37" s="8" t="inlineStr"/>
      <c r="L37" s="8" t="inlineStr"/>
    </row>
    <row r="38">
      <c r="A38" s="4" t="inlineStr">
        <is>
          <t>F56</t>
        </is>
      </c>
      <c r="B38" s="4" t="inlineStr">
        <is>
          <t>Sitting and serving area</t>
        </is>
      </c>
      <c r="C38" s="4" t="inlineStr">
        <is>
          <t>Tall storage cupboard 5' x 2' (bedding, suitcases, festival vessels), loft above</t>
        </is>
      </c>
      <c r="D38" s="4" t="inlineStr">
        <is>
          <t>Built-in joinery</t>
        </is>
      </c>
      <c r="E38" s="4" t="n">
        <v>5</v>
      </c>
      <c r="F38" s="4" t="n">
        <v>2</v>
      </c>
      <c r="G38" s="4" t="n">
        <v>1</v>
      </c>
      <c r="H38" s="4" t="inlineStr">
        <is>
          <t>Ply + laminate, full height</t>
        </is>
      </c>
      <c r="I38" s="10" t="n"/>
      <c r="J38" s="11">
        <f>G38*I38</f>
        <v/>
      </c>
      <c r="K38" s="8" t="inlineStr"/>
      <c r="L38" s="8" t="inlineStr"/>
    </row>
    <row r="39">
      <c r="A39" s="4" t="inlineStr">
        <is>
          <t>F34</t>
        </is>
      </c>
      <c r="B39" s="4" t="inlineStr">
        <is>
          <t>Kitchen</t>
        </is>
      </c>
      <c r="C39" s="4" t="inlineStr">
        <is>
          <t>L-counter, south run: deep drawers for vessels instead of shutters</t>
        </is>
      </c>
      <c r="D39" s="4" t="inlineStr">
        <is>
          <t>Built-in joinery</t>
        </is>
      </c>
      <c r="E39" s="4" t="n">
        <v>13.2</v>
      </c>
      <c r="F39" s="4" t="n">
        <v>2</v>
      </c>
      <c r="G39" s="4" t="n">
        <v>1</v>
      </c>
      <c r="H39" s="4" t="inlineStr">
        <is>
          <t>Granite top, ply carcass</t>
        </is>
      </c>
      <c r="I39" s="10" t="n"/>
      <c r="J39" s="11">
        <f>G39*I39</f>
        <v/>
      </c>
      <c r="K39" s="8" t="inlineStr"/>
      <c r="L39" s="8" t="inlineStr"/>
    </row>
    <row r="40">
      <c r="A40" s="4" t="inlineStr">
        <is>
          <t>F60</t>
        </is>
      </c>
      <c r="B40" s="4" t="inlineStr">
        <is>
          <t>Kitchen</t>
        </is>
      </c>
      <c r="C40" s="4" t="inlineStr">
        <is>
          <t>Utensil rail with hooks beside the hob (ladles, tongs, strainers)</t>
        </is>
      </c>
      <c r="D40" s="4" t="inlineStr">
        <is>
          <t>Loose furniture</t>
        </is>
      </c>
      <c r="E40" s="4" t="n">
        <v>1.7</v>
      </c>
      <c r="F40" s="4" t="n">
        <v>0.15</v>
      </c>
      <c r="G40" s="4" t="n">
        <v>1</v>
      </c>
      <c r="H40" s="4" t="inlineStr">
        <is>
          <t>SS rail and S-hooks</t>
        </is>
      </c>
      <c r="I40" s="10" t="n"/>
      <c r="J40" s="11">
        <f>G40*I40</f>
        <v/>
      </c>
      <c r="K40" s="8" t="inlineStr"/>
      <c r="L40" s="8" t="inlineStr"/>
    </row>
    <row r="41">
      <c r="A41" s="4" t="inlineStr">
        <is>
          <t>F35</t>
        </is>
      </c>
      <c r="B41" s="4" t="inlineStr">
        <is>
          <t>Kitchen</t>
        </is>
      </c>
      <c r="C41" s="4" t="inlineStr">
        <is>
          <t>L-counter, east run (hob centred 7'-6" from the south wall face, on solid wall; pull-out masala drawer beside the hob)</t>
        </is>
      </c>
      <c r="D41" s="4" t="inlineStr">
        <is>
          <t>Built-in joinery</t>
        </is>
      </c>
      <c r="E41" s="4" t="n">
        <v>2</v>
      </c>
      <c r="F41" s="4" t="n">
        <v>7</v>
      </c>
      <c r="G41" s="4" t="n">
        <v>1</v>
      </c>
      <c r="H41" s="4" t="inlineStr">
        <is>
          <t>Granite top, cook faces east</t>
        </is>
      </c>
      <c r="I41" s="10" t="n"/>
      <c r="J41" s="11">
        <f>G41*I41</f>
        <v/>
      </c>
      <c r="K41" s="8" t="inlineStr"/>
      <c r="L41" s="8" t="inlineStr"/>
    </row>
    <row r="42">
      <c r="A42" s="4" t="inlineStr">
        <is>
          <t>F36</t>
        </is>
      </c>
      <c r="B42" s="4" t="inlineStr">
        <is>
          <t>Dining</t>
        </is>
      </c>
      <c r="C42" s="4" t="inlineStr">
        <is>
          <t>Refrigerator space (dining alcove beside the kitchen door, against the wet-area wall, door facing north)</t>
        </is>
      </c>
      <c r="D42" s="4" t="inlineStr">
        <is>
          <t>Appliance / joinery</t>
        </is>
      </c>
      <c r="E42" s="4" t="n">
        <v>2.5</v>
      </c>
      <c r="F42" s="4" t="n">
        <v>2.4</v>
      </c>
      <c r="G42" s="4" t="n">
        <v>1</v>
      </c>
      <c r="H42" s="4" t="inlineStr">
        <is>
          <t>Double-door, 2'6" wide</t>
        </is>
      </c>
      <c r="I42" s="10" t="n"/>
      <c r="J42" s="11">
        <f>G42*I42</f>
        <v/>
      </c>
      <c r="K42" s="8" t="inlineStr"/>
      <c r="L42" s="8" t="inlineStr"/>
    </row>
    <row r="43">
      <c r="A43" s="4" t="inlineStr">
        <is>
          <t>F38</t>
        </is>
      </c>
      <c r="B43" s="4" t="inlineStr">
        <is>
          <t>Dining bay</t>
        </is>
      </c>
      <c r="C43" s="4" t="inlineStr">
        <is>
          <t>Sofa 5'-6" (2-3 seats) facing west to the TV about 7'-6" away</t>
        </is>
      </c>
      <c r="D43" s="4" t="inlineStr">
        <is>
          <t>Loose furniture</t>
        </is>
      </c>
      <c r="E43" s="4" t="n">
        <v>2.7</v>
      </c>
      <c r="F43" s="4" t="n">
        <v>5.5</v>
      </c>
      <c r="G43" s="4" t="n">
        <v>1</v>
      </c>
      <c r="H43" s="4" t="inlineStr">
        <is>
          <t>Teak frame, cotton cushions</t>
        </is>
      </c>
      <c r="I43" s="10" t="n"/>
      <c r="J43" s="11">
        <f>G43*I43</f>
        <v/>
      </c>
      <c r="K43" s="8" t="inlineStr"/>
      <c r="L43" s="8" t="inlineStr"/>
    </row>
    <row r="44">
      <c r="A44" s="4" t="inlineStr">
        <is>
          <t>F39</t>
        </is>
      </c>
      <c r="B44" s="4" t="inlineStr">
        <is>
          <t>Dining bay</t>
        </is>
      </c>
      <c r="C44" s="4" t="inlineStr">
        <is>
          <t>Coffee table 3'6" x 2'</t>
        </is>
      </c>
      <c r="D44" s="4" t="inlineStr">
        <is>
          <t>Loose furniture</t>
        </is>
      </c>
      <c r="E44" s="4" t="n">
        <v>2</v>
      </c>
      <c r="F44" s="4" t="n">
        <v>3.5</v>
      </c>
      <c r="G44" s="4" t="n">
        <v>1</v>
      </c>
      <c r="H44" s="4" t="inlineStr">
        <is>
          <t>Teak</t>
        </is>
      </c>
      <c r="I44" s="10" t="n"/>
      <c r="J44" s="11">
        <f>G44*I44</f>
        <v/>
      </c>
      <c r="K44" s="8" t="inlineStr"/>
      <c r="L44" s="8" t="inlineStr"/>
    </row>
    <row r="45">
      <c r="A45" s="4" t="inlineStr">
        <is>
          <t>F53</t>
        </is>
      </c>
      <c r="B45" s="4" t="inlineStr">
        <is>
          <t>Dining bay</t>
        </is>
      </c>
      <c r="C45" s="4" t="inlineStr">
        <is>
          <t>TV unit 4'-5" on Bedroom 2's east wall, the west wall of the hall (55 in TV wall-mounted above)</t>
        </is>
      </c>
      <c r="D45" s="4" t="inlineStr">
        <is>
          <t>Appliance / joinery</t>
        </is>
      </c>
      <c r="E45" s="4" t="n">
        <v>1.3</v>
      </c>
      <c r="F45" s="4" t="n">
        <v>4.4</v>
      </c>
      <c r="G45" s="4" t="n">
        <v>1</v>
      </c>
      <c r="H45" s="4" t="inlineStr">
        <is>
          <t>Teak, low, open shelves</t>
        </is>
      </c>
      <c r="I45" s="10" t="n"/>
      <c r="J45" s="11">
        <f>G45*I45</f>
        <v/>
      </c>
      <c r="K45" s="8" t="inlineStr"/>
      <c r="L45" s="8" t="inlineStr"/>
    </row>
    <row r="46">
      <c r="A46" s="4" t="inlineStr">
        <is>
          <t>F68</t>
        </is>
      </c>
      <c r="B46" s="4" t="inlineStr">
        <is>
          <t>Dining bay</t>
        </is>
      </c>
      <c r="C46" s="4" t="inlineStr">
        <is>
          <t>Built-in window seat 4' x 2' under the north window, side seating for the TV area (cushions, bolsters, drawers below)</t>
        </is>
      </c>
      <c r="D46" s="4" t="inlineStr">
        <is>
          <t>Loose furniture</t>
        </is>
      </c>
      <c r="E46" s="4" t="n">
        <v>4</v>
      </c>
      <c r="F46" s="4" t="n">
        <v>2</v>
      </c>
      <c r="G46" s="4" t="n">
        <v>1</v>
      </c>
      <c r="H46" s="4" t="inlineStr">
        <is>
          <t>Teak, cotton cushions</t>
        </is>
      </c>
      <c r="I46" s="10" t="n"/>
      <c r="J46" s="11">
        <f>G46*I46</f>
        <v/>
      </c>
      <c r="K46" s="8" t="inlineStr"/>
      <c r="L46" s="8" t="inlineStr"/>
    </row>
    <row r="47">
      <c r="A47" s="4" t="inlineStr">
        <is>
          <t>F40</t>
        </is>
      </c>
      <c r="B47" s="4" t="inlineStr">
        <is>
          <t>Living</t>
        </is>
      </c>
      <c r="C47" s="4" t="inlineStr">
        <is>
          <t>Armchair at the west end of the window diwan</t>
        </is>
      </c>
      <c r="D47" s="4" t="inlineStr">
        <is>
          <t>Loose furniture</t>
        </is>
      </c>
      <c r="E47" s="4" t="n">
        <v>1.8</v>
      </c>
      <c r="F47" s="4" t="n">
        <v>1.8</v>
      </c>
      <c r="G47" s="4" t="n">
        <v>1</v>
      </c>
      <c r="H47" s="4" t="inlineStr">
        <is>
          <t>Cane / teak</t>
        </is>
      </c>
      <c r="I47" s="10" t="n"/>
      <c r="J47" s="11">
        <f>G47*I47</f>
        <v/>
      </c>
      <c r="K47" s="8" t="inlineStr"/>
      <c r="L47" s="8" t="inlineStr"/>
    </row>
    <row r="48">
      <c r="A48" s="4" t="inlineStr">
        <is>
          <t>F58</t>
        </is>
      </c>
      <c r="B48" s="4" t="inlineStr">
        <is>
          <t>Living</t>
        </is>
      </c>
      <c r="C48" s="4" t="inlineStr">
        <is>
          <t>Window diwan 6' x 2'-6" under the north window, drawers below (guest seating, day bed); out of the line of the main door</t>
        </is>
      </c>
      <c r="D48" s="4" t="inlineStr">
        <is>
          <t>Loose furniture</t>
        </is>
      </c>
      <c r="E48" s="4" t="n">
        <v>6</v>
      </c>
      <c r="F48" s="4" t="n">
        <v>2.6</v>
      </c>
      <c r="G48" s="4" t="n">
        <v>1</v>
      </c>
      <c r="H48" s="4" t="inlineStr">
        <is>
          <t>Teak frame, cotton mattress and bolsters</t>
        </is>
      </c>
      <c r="I48" s="10" t="n"/>
      <c r="J48" s="11">
        <f>G48*I48</f>
        <v/>
      </c>
      <c r="K48" s="8" t="inlineStr"/>
      <c r="L48" s="8" t="inlineStr"/>
    </row>
    <row r="49">
      <c r="A49" s="4" t="inlineStr">
        <is>
          <t>F52</t>
        </is>
      </c>
      <c r="B49" s="4" t="inlineStr">
        <is>
          <t>Living</t>
        </is>
      </c>
      <c r="C49" s="4" t="inlineStr">
        <is>
          <t>Shoe bench 3'-3" (Japanese genkan idea): sit to take shoes off, louvred shoe shelves below, hooks and a keys niche above, small cabinet over</t>
        </is>
      </c>
      <c r="D49" s="4" t="inlineStr">
        <is>
          <t>Loose furniture</t>
        </is>
      </c>
      <c r="E49" s="4" t="n">
        <v>1.2</v>
      </c>
      <c r="F49" s="4" t="n">
        <v>3.2</v>
      </c>
      <c r="G49" s="4" t="n">
        <v>1</v>
      </c>
      <c r="H49" s="4" t="inlineStr">
        <is>
          <t>Teak top, ply + laminate, 14 in deep</t>
        </is>
      </c>
      <c r="I49" s="10" t="n"/>
      <c r="J49" s="11">
        <f>G49*I49</f>
        <v/>
      </c>
      <c r="K49" s="8" t="inlineStr"/>
      <c r="L49" s="8" t="inlineStr"/>
    </row>
    <row r="50">
      <c r="A50" s="4" t="inlineStr">
        <is>
          <t>F59</t>
        </is>
      </c>
      <c r="B50" s="4" t="inlineStr">
        <is>
          <t>Living</t>
        </is>
      </c>
      <c r="C50" s="4" t="inlineStr">
        <is>
          <t>Vilakku madam: carved teak lamp niche with a light inside, on the wall facing the main door</t>
        </is>
      </c>
      <c r="D50" s="4" t="inlineStr">
        <is>
          <t>Loose furniture</t>
        </is>
      </c>
      <c r="E50" s="4" t="n">
        <v>0.34</v>
      </c>
      <c r="F50" s="4" t="n">
        <v>1.8</v>
      </c>
      <c r="G50" s="4" t="n">
        <v>1</v>
      </c>
      <c r="H50" s="4" t="inlineStr">
        <is>
          <t>Carved teak, brass lamp</t>
        </is>
      </c>
      <c r="I50" s="10" t="n"/>
      <c r="J50" s="11">
        <f>G50*I50</f>
        <v/>
      </c>
      <c r="K50" s="8" t="inlineStr"/>
      <c r="L50" s="8" t="inlineStr"/>
    </row>
    <row r="51">
      <c r="A51" s="4" t="inlineStr">
        <is>
          <t>F41</t>
        </is>
      </c>
      <c r="B51" s="4" t="inlineStr">
        <is>
          <t>Poomukham (verandah)</t>
        </is>
      </c>
      <c r="C51" s="4" t="inlineStr">
        <is>
          <t>Oonjal (swing) 3'6", north side of the verandah, clear of the entrance</t>
        </is>
      </c>
      <c r="D51" s="4" t="inlineStr">
        <is>
          <t>Loose furniture</t>
        </is>
      </c>
      <c r="E51" s="4" t="n">
        <v>3.3</v>
      </c>
      <c r="F51" s="4" t="n">
        <v>1.5</v>
      </c>
      <c r="G51" s="4" t="n">
        <v>1</v>
      </c>
      <c r="H51" s="4" t="inlineStr">
        <is>
          <t>Teak, chains to beam</t>
        </is>
      </c>
      <c r="I51" s="10" t="n"/>
      <c r="J51" s="11">
        <f>G51*I51</f>
        <v/>
      </c>
      <c r="K51" s="8" t="inlineStr"/>
      <c r="L51" s="8" t="inlineStr"/>
    </row>
    <row r="52">
      <c r="A52" s="4" t="inlineStr">
        <is>
          <t>F42</t>
        </is>
      </c>
      <c r="B52" s="4" t="inlineStr">
        <is>
          <t>Poomukham (verandah)</t>
        </is>
      </c>
      <c r="C52" s="4" t="inlineStr">
        <is>
          <t>Charupadi: built-in teak seat with a sloping backrest between the pillars, south of the steps</t>
        </is>
      </c>
      <c r="D52" s="4" t="inlineStr">
        <is>
          <t>Loose furniture</t>
        </is>
      </c>
      <c r="E52" s="4" t="n">
        <v>1.3</v>
      </c>
      <c r="F52" s="4" t="n">
        <v>2.1</v>
      </c>
      <c r="G52" s="4" t="n">
        <v>1</v>
      </c>
      <c r="H52" s="4" t="inlineStr">
        <is>
          <t>Laterite base, teak seat and backrest</t>
        </is>
      </c>
      <c r="I52" s="10" t="n"/>
      <c r="J52" s="11">
        <f>G52*I52</f>
        <v/>
      </c>
      <c r="K52" s="8" t="inlineStr"/>
      <c r="L52" s="8" t="inlineStr"/>
    </row>
    <row r="53">
      <c r="A53" s="4" t="inlineStr">
        <is>
          <t>F69</t>
        </is>
      </c>
      <c r="B53" s="4" t="inlineStr">
        <is>
          <t>Poomukham (verandah)</t>
        </is>
      </c>
      <c r="C53" s="4" t="inlineStr">
        <is>
          <t>Charupadi: built-in teak seat with a sloping backrest between the pillars, north of the steps</t>
        </is>
      </c>
      <c r="D53" s="4" t="inlineStr">
        <is>
          <t>Loose furniture</t>
        </is>
      </c>
      <c r="E53" s="4" t="n">
        <v>1.3</v>
      </c>
      <c r="F53" s="4" t="n">
        <v>1.9</v>
      </c>
      <c r="G53" s="4" t="n">
        <v>1</v>
      </c>
      <c r="H53" s="4" t="inlineStr">
        <is>
          <t>Laterite base, teak seat and backrest</t>
        </is>
      </c>
      <c r="I53" s="10" t="n"/>
      <c r="J53" s="11">
        <f>G53*I53</f>
        <v/>
      </c>
      <c r="K53" s="8" t="inlineStr"/>
      <c r="L53" s="8" t="inlineStr"/>
    </row>
    <row r="54">
      <c r="A54" s="6" t="inlineStr"/>
      <c r="B54" s="6" t="inlineStr"/>
      <c r="C54" s="6" t="inlineStr">
        <is>
          <t>Total</t>
        </is>
      </c>
      <c r="D54" s="6" t="inlineStr"/>
      <c r="E54" s="6" t="inlineStr"/>
      <c r="F54" s="6" t="inlineStr"/>
      <c r="G54" s="6">
        <f>SUM(G2:G53)</f>
        <v/>
      </c>
      <c r="H54" s="6" t="inlineStr"/>
      <c r="I54" s="12" t="inlineStr"/>
      <c r="J54" s="12">
        <f>SUM(J2:J53)</f>
        <v/>
      </c>
      <c r="K54" s="6" t="inlineStr"/>
      <c r="L54"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 deep drawers for vessels, pull-out masala drawer by the hob, utensil rail on the wall beside it</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Recessed tiled shower niche with a sloped sill; mirror cabinet over the basin; towel and clothes hooks at the dry end; 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Site</t>
        </is>
      </c>
      <c r="B4" s="4" t="inlineStr">
        <is>
          <t>Compound wall</t>
        </is>
      </c>
      <c r="C4" s="4" t="inlineStr">
        <is>
          <t>Precast RCC post-and-panel wall, 5 ft high: 4 in square posts at about 7 ft centres on small pad footings, 2 in slotted panels, set just inside the plot line; panels lift out, so the north run can be moved if the north strip is bought</t>
        </is>
      </c>
      <c r="D4" s="4" t="inlineStr">
        <is>
          <t>Thinnest practical wall: keeps the 2 ft north gap and 3 ft south walkway usable; cheap, quick and reusable</t>
        </is>
      </c>
    </row>
    <row r="5">
      <c r="A5" s="4" t="inlineStr">
        <is>
          <t>Substructure</t>
        </is>
      </c>
      <c r="B5" s="4" t="inlineStr">
        <is>
          <t>Plinth beam + DPC</t>
        </is>
      </c>
      <c r="C5" s="4" t="inlineStr">
        <is>
          <t>RCC plinth beam all round; 40 mm DPC with waterproofing compound at plinth top</t>
        </is>
      </c>
      <c r="D5" s="4" t="inlineStr">
        <is>
          <t>Stops rising damp into AAC</t>
        </is>
      </c>
    </row>
    <row r="6">
      <c r="A6" s="4" t="inlineStr">
        <is>
          <t>Substructure</t>
        </is>
      </c>
      <c r="B6" s="4" t="inlineStr">
        <is>
          <t>Plinth fill</t>
        </is>
      </c>
      <c r="C6" s="4" t="inlineStr">
        <is>
          <t>Non-expansive moorum / gravel in 150 mm layers, compacted; no black soil fill</t>
        </is>
      </c>
      <c r="D6" s="4" t="inlineStr">
        <is>
          <t>Black soil under the floor will heave the slab</t>
        </is>
      </c>
    </row>
    <row r="7">
      <c r="A7" s="4" t="inlineStr">
        <is>
          <t>Substructure</t>
        </is>
      </c>
      <c r="B7" s="4" t="inlineStr">
        <is>
          <t>Anti-termite</t>
        </is>
      </c>
      <c r="C7" s="4" t="inlineStr">
        <is>
          <t>Pre-construction chemical treatment (IS 6313) at foundation, plinth fill and around walls</t>
        </is>
      </c>
      <c r="D7" s="4" t="inlineStr">
        <is>
          <t>High termite risk; cannot be redone easily later</t>
        </is>
      </c>
    </row>
    <row r="8">
      <c r="A8" s="4" t="inlineStr">
        <is>
          <t>Substructure</t>
        </is>
      </c>
      <c r="B8" s="4" t="inlineStr">
        <is>
          <t>Plinth protection</t>
        </is>
      </c>
      <c r="C8" s="4" t="inlineStr">
        <is>
          <t>3 ft PCC apron with slope away, joint sealed to wall</t>
        </is>
      </c>
      <c r="D8" s="4" t="inlineStr">
        <is>
          <t>Keeps rain off expansive soil next to foundations</t>
        </is>
      </c>
    </row>
    <row r="9">
      <c r="A9" s="4" t="inlineStr">
        <is>
          <t>Frame</t>
        </is>
      </c>
      <c r="B9" s="4" t="inlineStr">
        <is>
          <t>Columns, beams, bands</t>
        </is>
      </c>
      <c r="C9" s="4" t="inlineStr">
        <is>
          <t>RCC frame; lintel band at door head, ring beam at wall top; seismic zone III detailing (IS 13920 as engineer decides)</t>
        </is>
      </c>
      <c r="D9" s="4" t="inlineStr">
        <is>
          <t>AAC infill is not load-bearing for truss + cyclone loads</t>
        </is>
      </c>
    </row>
    <row r="10">
      <c r="A10" s="4" t="inlineStr">
        <is>
          <t>Walls</t>
        </is>
      </c>
      <c r="B10" s="4" t="inlineStr">
        <is>
          <t>AAC blocks</t>
        </is>
      </c>
      <c r="C10" s="4" t="inlineStr">
        <is>
          <t>IS 2185-3, 200 mm outer / 150 mm wet walls / 100 mm inner; thin-bed polymer mortar</t>
        </is>
      </c>
      <c r="D10" s="4" t="inlineStr">
        <is>
          <t>Better insulation than brick; lighter frame</t>
        </is>
      </c>
    </row>
    <row r="11">
      <c r="A11" s="4" t="inlineStr">
        <is>
          <t>Walls</t>
        </is>
      </c>
      <c r="B11" s="4" t="inlineStr">
        <is>
          <t>AAC to RCC joints</t>
        </is>
      </c>
      <c r="C11" s="4" t="inlineStr">
        <is>
          <t>Galvanised mesh strip 150 mm wide over every block-concrete joint before plaster</t>
        </is>
      </c>
      <c r="D11" s="4" t="inlineStr">
        <is>
          <t>The most common AAC crack; cheap to prevent</t>
        </is>
      </c>
    </row>
    <row r="12">
      <c r="A12" s="4" t="inlineStr">
        <is>
          <t>Walls</t>
        </is>
      </c>
      <c r="B12" s="4" t="inlineStr">
        <is>
          <t>Chasing</t>
        </is>
      </c>
      <c r="C12" s="4" t="inlineStr">
        <is>
          <t>Cut chases with a groover, never hammer; fill with polymer mortar + mesh</t>
        </is>
      </c>
      <c r="D12" s="4" t="inlineStr">
        <is>
          <t>Hammering cracks AAC blocks</t>
        </is>
      </c>
    </row>
    <row r="13">
      <c r="A13" s="4" t="inlineStr">
        <is>
          <t>Walls</t>
        </is>
      </c>
      <c r="B13" s="4" t="inlineStr">
        <is>
          <t>External plaster</t>
        </is>
      </c>
      <c r="C13" s="4" t="inlineStr">
        <is>
          <t>20 mm, two coats, waterproof admixture, cured 7 days; elastomeric paint</t>
        </is>
      </c>
      <c r="D13" s="4" t="inlineStr">
        <is>
          <t>Wind-driven cyclone rain</t>
        </is>
      </c>
    </row>
    <row r="14">
      <c r="A14" s="4" t="inlineStr">
        <is>
          <t>Roof</t>
        </is>
      </c>
      <c r="B14" s="4" t="inlineStr">
        <is>
          <t>Structure</t>
        </is>
      </c>
      <c r="C14" s="4" t="inlineStr">
        <is>
          <t>Steel truss (hot-dip galvanised or epoxy primed), 30 deg pitch, bolted to ring beam with holding-down bolts</t>
        </is>
      </c>
      <c r="D14" s="4" t="inlineStr">
        <is>
          <t>Uplift in cyclone winds</t>
        </is>
      </c>
    </row>
    <row r="15">
      <c r="A15" s="4" t="inlineStr">
        <is>
          <t>Roof</t>
        </is>
      </c>
      <c r="B15" s="4" t="inlineStr">
        <is>
          <t>Deck and insulation</t>
        </is>
      </c>
      <c r="C15" s="4" t="inlineStr">
        <is>
          <t>Cement-fibre board deck + 50 mm PIR/XPS or reflective insulation + membrane, then battens and Mangalore tiles</t>
        </is>
      </c>
      <c r="D15" s="4" t="inlineStr">
        <is>
          <t>Cuts attic heat in 45 C summers</t>
        </is>
      </c>
    </row>
    <row r="16">
      <c r="A16" s="4" t="inlineStr">
        <is>
          <t>Roof</t>
        </is>
      </c>
      <c r="B16" s="4" t="inlineStr">
        <is>
          <t>Tile fixing</t>
        </is>
      </c>
      <c r="C16" s="4" t="inlineStr">
        <is>
          <t>Clip or screw every tile at eaves, verges, ridges and hips, and every 3rd row elsewhere; ridges bedded and pointed</t>
        </is>
      </c>
      <c r="D16" s="4" t="inlineStr">
        <is>
          <t>Loose tiles fly in cyclones</t>
        </is>
      </c>
    </row>
    <row r="17">
      <c r="A17" s="4" t="inlineStr">
        <is>
          <t>Roof</t>
        </is>
      </c>
      <c r="B17" s="4" t="inlineStr">
        <is>
          <t>Ventilation</t>
        </is>
      </c>
      <c r="C17" s="4" t="inlineStr">
        <is>
          <t>Ridge / gable vents with bird and insect mesh; soffit vents at eaves</t>
        </is>
      </c>
      <c r="D17" s="4" t="inlineStr">
        <is>
          <t>Flushes hot air from the attic</t>
        </is>
      </c>
    </row>
    <row r="18">
      <c r="A18" s="4" t="inlineStr">
        <is>
          <t>Roof</t>
        </is>
      </c>
      <c r="B18" s="4" t="inlineStr">
        <is>
          <t>Dining ventilator</t>
        </is>
      </c>
      <c r="C18"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8" s="4" t="inlineStr">
        <is>
          <t>Lets hot air out, keeps out rain, mosquitoes and attic dust, and closes for AC</t>
        </is>
      </c>
    </row>
    <row r="19">
      <c r="A19" s="4" t="inlineStr">
        <is>
          <t>Roof</t>
        </is>
      </c>
      <c r="B19" s="4" t="inlineStr">
        <is>
          <t>Gutters and downpipes</t>
        </is>
      </c>
      <c r="C19" s="4" t="inlineStr">
        <is>
          <t>150 mm half-round gutters with leaf guard, 100 mm downpipes at 8 points, to the sump filter, overflow to the road drain</t>
        </is>
      </c>
      <c r="D19" s="4" t="inlineStr">
        <is>
          <t>Short heavy bursts; protects the plinth</t>
        </is>
      </c>
    </row>
    <row r="20">
      <c r="A20" s="4" t="inlineStr">
        <is>
          <t>Openings</t>
        </is>
      </c>
      <c r="B20" s="4" t="inlineStr">
        <is>
          <t>Windows</t>
        </is>
      </c>
      <c r="C20" s="4" t="inlineStr">
        <is>
          <t>Hardwood or UPVC frames; mosquito mesh on every opening; MS grill for security</t>
        </is>
      </c>
      <c r="D20" s="4" t="inlineStr">
        <is>
          <t>Mosquitoes; ground-floor security</t>
        </is>
      </c>
    </row>
    <row r="21">
      <c r="A21" s="4" t="inlineStr">
        <is>
          <t>Openings</t>
        </is>
      </c>
      <c r="B21" s="4" t="inlineStr">
        <is>
          <t>Sills and sunshades</t>
        </is>
      </c>
      <c r="C21" s="4" t="inlineStr">
        <is>
          <t>External sills sloped 1:10 with drip groove; 2 ft sunshades with drip groove; 18 in projecting drip under the jali wall</t>
        </is>
      </c>
      <c r="D21" s="4" t="inlineStr">
        <is>
          <t>Stops staining and water entry</t>
        </is>
      </c>
    </row>
    <row r="22">
      <c r="A22" s="4" t="inlineStr">
        <is>
          <t>Openings</t>
        </is>
      </c>
      <c r="B22" s="4" t="inlineStr">
        <is>
          <t>Vents above inner doors</t>
        </is>
      </c>
      <c r="C22" s="4" t="inlineStr">
        <is>
          <t>Pooja: open jali; bedrooms and bathrooms: none (the workstation has no door for now). 7'-6" to 9'-0" above the lintel band</t>
        </is>
      </c>
      <c r="D22" s="4" t="inlineStr">
        <is>
          <t>Air moves with doors shut where privacy allows; bedrooms rely on their north windows, fans and AC</t>
        </is>
      </c>
    </row>
    <row r="23">
      <c r="A23" s="4" t="inlineStr">
        <is>
          <t>Openings</t>
        </is>
      </c>
      <c r="B23" s="4" t="inlineStr">
        <is>
          <t>Bathroom doors</t>
        </is>
      </c>
      <c r="C23" s="4" t="inlineStr">
        <is>
          <t>WPC / FRP shutters on WPC or granite frame base; no wooden frame touching the wet floor</t>
        </is>
      </c>
      <c r="D23" s="4" t="inlineStr">
        <is>
          <t>Wood frames rot at the bottom</t>
        </is>
      </c>
    </row>
    <row r="24">
      <c r="A24" s="4" t="inlineStr">
        <is>
          <t>Floors</t>
        </is>
      </c>
      <c r="B24" s="4" t="inlineStr">
        <is>
          <t>General</t>
        </is>
      </c>
      <c r="C24" s="4" t="inlineStr">
        <is>
          <t>4 in skirting flush with the wall plaster (groove in plaster); 3 mm epoxy grout in wet areas</t>
        </is>
      </c>
      <c r="D24" s="4" t="inlineStr">
        <is>
          <t>No dust ledge, no black grout lines</t>
        </is>
      </c>
    </row>
    <row r="25">
      <c r="A25" s="4" t="inlineStr">
        <is>
          <t>Floors</t>
        </is>
      </c>
      <c r="B25" s="4" t="inlineStr">
        <is>
          <t>Wet rooms</t>
        </is>
      </c>
      <c r="C25" s="4" t="inlineStr">
        <is>
          <t>Waterproofing (polymer cementitious) floor + 12 in up walls + 7 ft in shower; flood test 48 h before tiling</t>
        </is>
      </c>
      <c r="D25" s="4" t="inlineStr">
        <is>
          <t>Leak into neighbouring rooms is the top complaint</t>
        </is>
      </c>
    </row>
    <row r="26">
      <c r="A26" s="4" t="inlineStr">
        <is>
          <t>Plumbing</t>
        </is>
      </c>
      <c r="B26" s="4" t="inlineStr">
        <is>
          <t>Supply</t>
        </is>
      </c>
      <c r="C26" s="4" t="inlineStr">
        <is>
          <t>CPVC hot/cold; supply runs along external walls in clamps or shallow chases; isolation valve per bathroom and kitchen</t>
        </is>
      </c>
      <c r="D26" s="4" t="inlineStr">
        <is>
          <t>Easy repair without breaking tiles</t>
        </is>
      </c>
    </row>
    <row r="27">
      <c r="A27" s="4" t="inlineStr">
        <is>
          <t>Plumbing</t>
        </is>
      </c>
      <c r="B27" s="4" t="inlineStr">
        <is>
          <t>Drainage</t>
        </is>
      </c>
      <c r="C27" s="4" t="inlineStr">
        <is>
          <t>uPVC SWR 110 mm soil, 75 mm waste; inspection chamber at every bend and junction; separate soil and grey-water lines</t>
        </is>
      </c>
      <c r="D27" s="4" t="inlineStr">
        <is>
          <t>Easy rodding</t>
        </is>
      </c>
    </row>
    <row r="28">
      <c r="A28" s="4" t="inlineStr">
        <is>
          <t>Plumbing</t>
        </is>
      </c>
      <c r="B28" s="4" t="inlineStr">
        <is>
          <t>Water treatment</t>
        </is>
      </c>
      <c r="C28" s="4" t="inlineStr">
        <is>
          <t>RO for drinking at kitchen; whole-house softener if hardness &gt; 300 mg/l; matt fittings</t>
        </is>
      </c>
      <c r="D28" s="4" t="inlineStr">
        <is>
          <t>Guntur groundwater is often hard with high fluoride</t>
        </is>
      </c>
    </row>
    <row r="29">
      <c r="A29" s="4" t="inlineStr">
        <is>
          <t>Electrical</t>
        </is>
      </c>
      <c r="B29" s="4" t="inlineStr">
        <is>
          <t>Wiring</t>
        </is>
      </c>
      <c r="C29" s="4" t="inlineStr">
        <is>
          <t>FR-LSH copper; 1.5 sq mm lights, 2.5 sq mm sockets, 4 sq mm AC / geyser; separate circuits per AC</t>
        </is>
      </c>
      <c r="D29" s="4" t="inlineStr">
        <is>
          <t>AC loads</t>
        </is>
      </c>
    </row>
    <row r="30">
      <c r="A30" s="4" t="inlineStr">
        <is>
          <t>Electrical</t>
        </is>
      </c>
      <c r="B30" s="4" t="inlineStr">
        <is>
          <t>Protection</t>
        </is>
      </c>
      <c r="C30" s="4" t="inlineStr">
        <is>
          <t>RCCB 30 mA + MCBs; 2 earth pits; surge protection device; DB in an accessible spot</t>
        </is>
      </c>
      <c r="D30" s="4" t="inlineStr">
        <is>
          <t>Shock and lightning safety</t>
        </is>
      </c>
    </row>
    <row r="31">
      <c r="A31" s="4" t="inlineStr">
        <is>
          <t>Electrical</t>
        </is>
      </c>
      <c r="B31" s="4" t="inlineStr">
        <is>
          <t>Backup</t>
        </is>
      </c>
      <c r="C31" s="4" t="inlineStr">
        <is>
          <t>Inverter circuit to lights, fans, office sockets and router; conduit from roof to DB for future solar PV</t>
        </is>
      </c>
      <c r="D31" s="4" t="inlineStr">
        <is>
          <t>Power cuts during work-from-home</t>
        </is>
      </c>
    </row>
    <row r="32">
      <c r="A32" s="4" t="inlineStr">
        <is>
          <t>Electrical</t>
        </is>
      </c>
      <c r="B32" s="4" t="inlineStr">
        <is>
          <t>AC provisions</t>
        </is>
      </c>
      <c r="C32" s="4" t="inlineStr">
        <is>
          <t>16 A socket at 7 ft, 65 mm sleeve through wall, drain pipe to outside, ODU brackets on shaded walls</t>
        </is>
      </c>
      <c r="D32"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0"/>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23.23</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287.9</v>
      </c>
      <c r="D6" s="4" t="inlineStr">
        <is>
          <t>sq m</t>
        </is>
      </c>
      <c r="E6" s="4" t="inlineStr">
        <is>
          <t>Both faces of inner walls, inner face of outer walls</t>
        </is>
      </c>
      <c r="F6" s="10" t="n"/>
      <c r="G6" s="11">
        <f>IF(F6="","",C6*F6)</f>
        <v/>
      </c>
    </row>
    <row r="7">
      <c r="A7" s="4" t="inlineStr">
        <is>
          <t>Walls</t>
        </is>
      </c>
      <c r="B7" s="4" t="inlineStr">
        <is>
          <t>External plaster (waterproof)</t>
        </is>
      </c>
      <c r="C7" s="4" t="n">
        <v>148</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24.8</v>
      </c>
      <c r="D9" s="4" t="inlineStr">
        <is>
          <t>sq m</t>
        </is>
      </c>
      <c r="E9" s="4" t="inlineStr">
        <is>
          <t>Clear room areas; add 5-8% wastage</t>
        </is>
      </c>
      <c r="F9" s="10" t="n"/>
      <c r="G9" s="11">
        <f>IF(F9="","",C9*F9)</f>
        <v/>
      </c>
    </row>
    <row r="10">
      <c r="A10" s="4" t="inlineStr">
        <is>
          <t>Floors</t>
        </is>
      </c>
      <c r="B10" s="4" t="inlineStr">
        <is>
          <t>Red oxide / Kota stone</t>
        </is>
      </c>
      <c r="C10" s="4" t="n">
        <v>39.8</v>
      </c>
      <c r="D10" s="4" t="inlineStr">
        <is>
          <t>sq m</t>
        </is>
      </c>
      <c r="E10" s="4" t="inlineStr">
        <is>
          <t>Clear room areas; add 5-8% wastage</t>
        </is>
      </c>
      <c r="F10" s="10" t="n"/>
      <c r="G10" s="11">
        <f>IF(F10="","",C10*F10)</f>
        <v/>
      </c>
    </row>
    <row r="11">
      <c r="A11" s="4" t="inlineStr">
        <is>
          <t>Floors</t>
        </is>
      </c>
      <c r="B11" s="4" t="inlineStr">
        <is>
          <t>Flamed granite</t>
        </is>
      </c>
      <c r="C11" s="4" t="n">
        <v>6.1</v>
      </c>
      <c r="D11" s="4" t="inlineStr">
        <is>
          <t>sq m</t>
        </is>
      </c>
      <c r="E11" s="4" t="inlineStr">
        <is>
          <t>Clear room areas; add 5-8% wastage</t>
        </is>
      </c>
      <c r="F11" s="10" t="n"/>
      <c r="G11" s="11">
        <f>IF(F11="","",C11*F11)</f>
        <v/>
      </c>
    </row>
    <row r="12">
      <c r="A12" s="4" t="inlineStr">
        <is>
          <t>Floors</t>
        </is>
      </c>
      <c r="B12" s="4" t="inlineStr">
        <is>
          <t>Flush skirting, 4 in</t>
        </is>
      </c>
      <c r="C12" s="4" t="n">
        <v>111.7</v>
      </c>
      <c r="D12" s="4" t="inlineStr">
        <is>
          <t>m</t>
        </is>
      </c>
      <c r="E12" s="4" t="inlineStr">
        <is>
          <t>Room perimeters (dry rooms), doors not deducted</t>
        </is>
      </c>
      <c r="F12" s="10" t="n"/>
      <c r="G12" s="11">
        <f>IF(F12="","",C12*F12)</f>
        <v/>
      </c>
    </row>
    <row r="13">
      <c r="A13" s="4" t="inlineStr">
        <is>
          <t>Wet rooms</t>
        </is>
      </c>
      <c r="B13" s="4" t="inlineStr">
        <is>
          <t>Wall tiles to 7 ft, Ensuite</t>
        </is>
      </c>
      <c r="C13" s="4" t="n">
        <v>15.6</v>
      </c>
      <c r="D13" s="4" t="inlineStr">
        <is>
          <t>sq m</t>
        </is>
      </c>
      <c r="E13" s="4" t="inlineStr">
        <is>
          <t>Full height in the shower adds ~2 sq m</t>
        </is>
      </c>
      <c r="F13" s="10" t="n"/>
      <c r="G13" s="11">
        <f>IF(F13="","",C13*F13)</f>
        <v/>
      </c>
    </row>
    <row r="14">
      <c r="A14" s="4" t="inlineStr">
        <is>
          <t>Wet rooms</t>
        </is>
      </c>
      <c r="B14" s="4" t="inlineStr">
        <is>
          <t>Waterproofing, Ensuite</t>
        </is>
      </c>
      <c r="C14" s="4" t="n">
        <v>9.800000000000001</v>
      </c>
      <c r="D14" s="4" t="inlineStr">
        <is>
          <t>sq m</t>
        </is>
      </c>
      <c r="E14" s="4" t="inlineStr">
        <is>
          <t>Floor + 12 in upturn + shower walls to 7 ft</t>
        </is>
      </c>
      <c r="F14" s="10" t="n"/>
      <c r="G14" s="11">
        <f>IF(F14="","",C14*F14)</f>
        <v/>
      </c>
    </row>
    <row r="15">
      <c r="A15" s="4" t="inlineStr">
        <is>
          <t>Wet rooms</t>
        </is>
      </c>
      <c r="B15" s="4" t="inlineStr">
        <is>
          <t>Wall tiles to 7 ft, Common bath</t>
        </is>
      </c>
      <c r="C15" s="4" t="n">
        <v>13.2</v>
      </c>
      <c r="D15" s="4" t="inlineStr">
        <is>
          <t>sq m</t>
        </is>
      </c>
      <c r="E15" s="4" t="inlineStr">
        <is>
          <t>Full height in the shower adds ~2 sq m</t>
        </is>
      </c>
      <c r="F15" s="10" t="n"/>
      <c r="G15" s="11">
        <f>IF(F15="","",C15*F15)</f>
        <v/>
      </c>
    </row>
    <row r="16">
      <c r="A16" s="4" t="inlineStr">
        <is>
          <t>Wet rooms</t>
        </is>
      </c>
      <c r="B16" s="4" t="inlineStr">
        <is>
          <t>Waterproofing, Common bath</t>
        </is>
      </c>
      <c r="C16" s="4" t="n">
        <v>8.5</v>
      </c>
      <c r="D16" s="4" t="inlineStr">
        <is>
          <t>sq m</t>
        </is>
      </c>
      <c r="E16" s="4" t="inlineStr">
        <is>
          <t>Floor + 12 in upturn + shower walls to 7 ft</t>
        </is>
      </c>
      <c r="F16" s="10" t="n"/>
      <c r="G16" s="11">
        <f>IF(F16="","",C16*F16)</f>
        <v/>
      </c>
    </row>
    <row r="17">
      <c r="A17" s="4" t="inlineStr">
        <is>
          <t>Wet rooms</t>
        </is>
      </c>
      <c r="B17" s="4" t="inlineStr">
        <is>
          <t>Wall tiles to 7 ft, Bath 2 (attached to Bedroom 2)</t>
        </is>
      </c>
      <c r="C17" s="4" t="n">
        <v>15.1</v>
      </c>
      <c r="D17" s="4" t="inlineStr">
        <is>
          <t>sq m</t>
        </is>
      </c>
      <c r="E17" s="4" t="inlineStr">
        <is>
          <t>Full height in the shower adds ~2 sq m</t>
        </is>
      </c>
      <c r="F17" s="10" t="n"/>
      <c r="G17" s="11">
        <f>IF(F17="","",C17*F17)</f>
        <v/>
      </c>
    </row>
    <row r="18">
      <c r="A18" s="4" t="inlineStr">
        <is>
          <t>Wet rooms</t>
        </is>
      </c>
      <c r="B18" s="4" t="inlineStr">
        <is>
          <t>Waterproofing, Bath 2 (attached to Bedroom 2)</t>
        </is>
      </c>
      <c r="C18" s="4" t="n">
        <v>9.6</v>
      </c>
      <c r="D18" s="4" t="inlineStr">
        <is>
          <t>sq m</t>
        </is>
      </c>
      <c r="E18" s="4" t="inlineStr">
        <is>
          <t>Floor + 12 in upturn + shower walls to 7 ft</t>
        </is>
      </c>
      <c r="F18" s="10" t="n"/>
      <c r="G18" s="11">
        <f>IF(F18="","",C18*F18)</f>
        <v/>
      </c>
    </row>
    <row r="19">
      <c r="A19" s="4" t="inlineStr">
        <is>
          <t>Kitchen</t>
        </is>
      </c>
      <c r="B19" s="4" t="inlineStr">
        <is>
          <t>Granite counter, 2 ft deep</t>
        </is>
      </c>
      <c r="C19" s="4" t="n">
        <v>5.4</v>
      </c>
      <c r="D19" s="4" t="inlineStr">
        <is>
          <t>m</t>
        </is>
      </c>
      <c r="E19" s="4" t="inlineStr">
        <is>
          <t>South and east runs (F34, F35)</t>
        </is>
      </c>
      <c r="F19" s="10" t="n"/>
      <c r="G19" s="11">
        <f>IF(F19="","",C19*F19)</f>
        <v/>
      </c>
    </row>
    <row r="20">
      <c r="A20" s="4" t="inlineStr">
        <is>
          <t>Kitchen</t>
        </is>
      </c>
      <c r="B20" s="4" t="inlineStr">
        <is>
          <t>Dado between counter and wall cabinets</t>
        </is>
      </c>
      <c r="C20" s="4" t="n">
        <v>3.3</v>
      </c>
      <c r="D20" s="4" t="inlineStr">
        <is>
          <t>sq m</t>
        </is>
      </c>
      <c r="E20" s="4" t="inlineStr">
        <is>
          <t>2 ft high</t>
        </is>
      </c>
      <c r="F20" s="10" t="n"/>
      <c r="G20" s="11">
        <f>IF(F20="","",C20*F20)</f>
        <v/>
      </c>
    </row>
    <row r="21">
      <c r="A21" s="4" t="inlineStr">
        <is>
          <t>Roof</t>
        </is>
      </c>
      <c r="B21" s="4" t="inlineStr">
        <is>
          <t>Sloped roof area (tiles, deck, insulation, membrane)</t>
        </is>
      </c>
      <c r="C21" s="4" t="n">
        <v>184.1</v>
      </c>
      <c r="D21" s="4" t="inlineStr">
        <is>
          <t>sq m</t>
        </is>
      </c>
      <c r="E21" s="4" t="inlineStr">
        <is>
          <t>Hip outline / cos 30 deg; add ~8% for gable and laps</t>
        </is>
      </c>
      <c r="F21" s="10" t="n"/>
      <c r="G21" s="11">
        <f>IF(F21="","",C21*F21)</f>
        <v/>
      </c>
    </row>
    <row r="22">
      <c r="A22" s="4" t="inlineStr">
        <is>
          <t>Roof</t>
        </is>
      </c>
      <c r="B22" s="4" t="inlineStr">
        <is>
          <t>Gutters</t>
        </is>
      </c>
      <c r="C22" s="4" t="n">
        <v>40.2</v>
      </c>
      <c r="D22" s="4" t="inlineStr">
        <is>
          <t>m</t>
        </is>
      </c>
      <c r="E22" s="4" t="inlineStr">
        <is>
          <t>Both long eaves</t>
        </is>
      </c>
      <c r="F22" s="10" t="n"/>
      <c r="G22" s="11">
        <f>IF(F22="","",C22*F22)</f>
        <v/>
      </c>
    </row>
    <row r="23">
      <c r="A23" s="4" t="inlineStr">
        <is>
          <t>Roof</t>
        </is>
      </c>
      <c r="B23" s="4" t="inlineStr">
        <is>
          <t>Downpipes, 100 mm</t>
        </is>
      </c>
      <c r="C23" s="4" t="n">
        <v>8</v>
      </c>
      <c r="D23" s="4" t="inlineStr">
        <is>
          <t>no.</t>
        </is>
      </c>
      <c r="E23" s="4" t="inlineStr">
        <is>
          <t>About 12 ft each</t>
        </is>
      </c>
      <c r="F23" s="10" t="n"/>
      <c r="G23" s="11">
        <f>IF(F23="","",C23*F23)</f>
        <v/>
      </c>
    </row>
    <row r="24">
      <c r="A24" s="4" t="inlineStr">
        <is>
          <t>Roof</t>
        </is>
      </c>
      <c r="B24" s="4" t="inlineStr">
        <is>
          <t>Ridge and hip tiles</t>
        </is>
      </c>
      <c r="C24" s="4" t="n">
        <v>34.6</v>
      </c>
      <c r="D24" s="4" t="inlineStr">
        <is>
          <t>m</t>
        </is>
      </c>
      <c r="E24" s="4" t="inlineStr">
        <is>
          <t>Approximate</t>
        </is>
      </c>
      <c r="F24" s="10" t="n"/>
      <c r="G24" s="11">
        <f>IF(F24="","",C24*F24)</f>
        <v/>
      </c>
    </row>
    <row r="25">
      <c r="A25" s="4" t="inlineStr">
        <is>
          <t>Site</t>
        </is>
      </c>
      <c r="B25" s="4" t="inlineStr">
        <is>
          <t>Compound wall, precast RCC post and panel, 5 ft high</t>
        </is>
      </c>
      <c r="C25" s="4" t="n">
        <v>60</v>
      </c>
      <c r="D25" s="4" t="inlineStr">
        <is>
          <t>m</t>
        </is>
      </c>
      <c r="E25" s="4" t="inlineStr">
        <is>
          <t>Plot perimeter less the gate</t>
        </is>
      </c>
      <c r="F25" s="10" t="n"/>
      <c r="G25" s="11">
        <f>IF(F25="","",C25*F25)</f>
        <v/>
      </c>
    </row>
    <row r="26">
      <c r="A26" s="4" t="inlineStr">
        <is>
          <t>Site</t>
        </is>
      </c>
      <c r="B26" s="4" t="inlineStr">
        <is>
          <t>Plinth protection apron, 3 ft wide</t>
        </is>
      </c>
      <c r="C26" s="4" t="n">
        <v>51</v>
      </c>
      <c r="D26" s="4" t="inlineStr">
        <is>
          <t>sq m</t>
        </is>
      </c>
      <c r="E26" s="4" t="inlineStr">
        <is>
          <t>PCC with slope away</t>
        </is>
      </c>
      <c r="F26" s="10" t="n"/>
      <c r="G26" s="11">
        <f>IF(F26="","",C26*F26)</f>
        <v/>
      </c>
    </row>
    <row r="27">
      <c r="A27" s="4" t="inlineStr">
        <is>
          <t>Openings</t>
        </is>
      </c>
      <c r="B27" s="4" t="inlineStr">
        <is>
          <t>Doors</t>
        </is>
      </c>
      <c r="C27" s="4" t="n">
        <v>9</v>
      </c>
      <c r="D27" s="4" t="inlineStr">
        <is>
          <t>no.</t>
        </is>
      </c>
      <c r="E27" s="4" t="inlineStr">
        <is>
          <t>See Doors tab</t>
        </is>
      </c>
      <c r="F27" s="10" t="n"/>
      <c r="G27" s="11">
        <f>IF(F27="","",C27*F27)</f>
        <v/>
      </c>
    </row>
    <row r="28">
      <c r="A28" s="4" t="inlineStr">
        <is>
          <t>Openings</t>
        </is>
      </c>
      <c r="B28" s="4" t="inlineStr">
        <is>
          <t>Windows and vents</t>
        </is>
      </c>
      <c r="C28" s="4" t="n">
        <v>16</v>
      </c>
      <c r="D28" s="4" t="inlineStr">
        <is>
          <t>no.</t>
        </is>
      </c>
      <c r="E28" s="4" t="inlineStr">
        <is>
          <t>See Windows tab</t>
        </is>
      </c>
      <c r="F28" s="10" t="n"/>
      <c r="G28" s="11">
        <f>IF(F28="","",C28*F28)</f>
        <v/>
      </c>
    </row>
    <row r="29">
      <c r="A29" s="4" t="inlineStr">
        <is>
          <t>Openings</t>
        </is>
      </c>
      <c r="B29" s="4" t="inlineStr">
        <is>
          <t>Window area (for mesh and grills)</t>
        </is>
      </c>
      <c r="C29" s="4" t="n">
        <v>21.4</v>
      </c>
      <c r="D29" s="4" t="inlineStr">
        <is>
          <t>sq m</t>
        </is>
      </c>
      <c r="E29" s="4" t="inlineStr"/>
      <c r="F29" s="10" t="n"/>
      <c r="G29" s="11">
        <f>IF(F29="","",C29*F29)</f>
        <v/>
      </c>
    </row>
    <row r="30">
      <c r="A30" s="6" t="inlineStr"/>
      <c r="B30" s="6" t="inlineStr">
        <is>
          <t>Total of priced items</t>
        </is>
      </c>
      <c r="C30" s="6" t="inlineStr"/>
      <c r="D30" s="6" t="inlineStr"/>
      <c r="E30" s="6" t="inlineStr"/>
      <c r="F30" s="12" t="inlineStr"/>
      <c r="G30" s="12">
        <f>SUM(G2:G29)</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7"/>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34.5</v>
      </c>
      <c r="F43" s="4" t="n">
        <v>3.4</v>
      </c>
      <c r="G43" s="4" t="inlineStr">
        <is>
          <t>serving counter, on the pier between the windows</t>
        </is>
      </c>
    </row>
    <row r="44">
      <c r="A44" s="4" t="inlineStr">
        <is>
          <t>L</t>
        </is>
      </c>
      <c r="B44" s="4" t="inlineStr">
        <is>
          <t>Ceiling light</t>
        </is>
      </c>
      <c r="C44" s="4" t="inlineStr">
        <is>
          <t>ceiling</t>
        </is>
      </c>
      <c r="D44" s="4" t="inlineStr">
        <is>
          <t>Common bath</t>
        </is>
      </c>
      <c r="E44" s="4" t="n">
        <v>44.7</v>
      </c>
      <c r="F44" s="4" t="n">
        <v>6.2</v>
      </c>
      <c r="G44" s="4" t="inlineStr"/>
    </row>
    <row r="45">
      <c r="A45" s="4" t="inlineStr">
        <is>
          <t>EF</t>
        </is>
      </c>
      <c r="B45" s="4" t="inlineStr">
        <is>
          <t>Exhaust fan</t>
        </is>
      </c>
      <c r="C45" s="4" t="inlineStr">
        <is>
          <t>7'-0"</t>
        </is>
      </c>
      <c r="D45" s="4" t="inlineStr">
        <is>
          <t>Common bath</t>
        </is>
      </c>
      <c r="E45" s="4" t="n">
        <v>46.9</v>
      </c>
      <c r="F45" s="4" t="n">
        <v>3.4</v>
      </c>
      <c r="G45" s="4" t="inlineStr">
        <is>
          <t>out through the south wall</t>
        </is>
      </c>
    </row>
    <row r="46">
      <c r="A46" s="4" t="inlineStr">
        <is>
          <t>G</t>
        </is>
      </c>
      <c r="B46" s="4" t="inlineStr">
        <is>
          <t>Geyser (16 A)</t>
        </is>
      </c>
      <c r="C46" s="4" t="inlineStr">
        <is>
          <t>6'-6"</t>
        </is>
      </c>
      <c r="D46" s="4" t="inlineStr">
        <is>
          <t>Common bath</t>
        </is>
      </c>
      <c r="E46" s="4" t="n">
        <v>41.8</v>
      </c>
      <c r="F46" s="4" t="n">
        <v>4.5</v>
      </c>
      <c r="G46" s="4" t="inlineStr">
        <is>
          <t>over shower, west wall (clear of the window)</t>
        </is>
      </c>
    </row>
    <row r="47">
      <c r="A47" s="4" t="inlineStr">
        <is>
          <t>PC</t>
        </is>
      </c>
      <c r="B47" s="4" t="inlineStr">
        <is>
          <t>6 A socket at counter</t>
        </is>
      </c>
      <c r="C47" s="4" t="inlineStr">
        <is>
          <t>3'-6"</t>
        </is>
      </c>
      <c r="D47" s="4" t="inlineStr">
        <is>
          <t>Common bath</t>
        </is>
      </c>
      <c r="E47" s="4" t="n">
        <v>47.6</v>
      </c>
      <c r="F47" s="4" t="n">
        <v>6</v>
      </c>
      <c r="G47" s="4" t="inlineStr">
        <is>
          <t>by basin</t>
        </is>
      </c>
    </row>
    <row r="48">
      <c r="A48" s="4" t="inlineStr">
        <is>
          <t>S</t>
        </is>
      </c>
      <c r="B48" s="4" t="inlineStr">
        <is>
          <t>Switchboard</t>
        </is>
      </c>
      <c r="C48" s="4" t="inlineStr">
        <is>
          <t>4'-0"</t>
        </is>
      </c>
      <c r="D48" s="4" t="inlineStr">
        <is>
          <t>Sitting and serving area (open)</t>
        </is>
      </c>
      <c r="E48" s="4" t="n">
        <v>41.1</v>
      </c>
      <c r="F48" s="4" t="n">
        <v>9.199999999999999</v>
      </c>
      <c r="G48" s="4" t="inlineStr">
        <is>
          <t>common bath switches outside the door</t>
        </is>
      </c>
    </row>
    <row r="49">
      <c r="A49" s="4" t="inlineStr">
        <is>
          <t>F</t>
        </is>
      </c>
      <c r="B49" s="4" t="inlineStr">
        <is>
          <t>Ceiling fan point</t>
        </is>
      </c>
      <c r="C49" s="4" t="inlineStr">
        <is>
          <t>ceiling</t>
        </is>
      </c>
      <c r="D49" s="4" t="inlineStr">
        <is>
          <t>Bedroom 2</t>
        </is>
      </c>
      <c r="E49" s="4" t="n">
        <v>34.6</v>
      </c>
      <c r="F49" s="4" t="n">
        <v>16.5</v>
      </c>
      <c r="G49" s="4" t="inlineStr">
        <is>
          <t>over the bed</t>
        </is>
      </c>
    </row>
    <row r="50">
      <c r="A50" s="4" t="inlineStr">
        <is>
          <t>WL</t>
        </is>
      </c>
      <c r="B50" s="4" t="inlineStr">
        <is>
          <t>Wall light / mirror light</t>
        </is>
      </c>
      <c r="C50" s="4" t="inlineStr">
        <is>
          <t>6'-6"</t>
        </is>
      </c>
      <c r="D50" s="4" t="inlineStr">
        <is>
          <t>Bedroom 2</t>
        </is>
      </c>
      <c r="E50" s="4" t="n">
        <v>37.6</v>
      </c>
      <c r="F50" s="4" t="n">
        <v>16.5</v>
      </c>
      <c r="G50" s="4" t="inlineStr">
        <is>
          <t>reading light over the bed head</t>
        </is>
      </c>
    </row>
    <row r="51">
      <c r="A51" s="4" t="inlineStr">
        <is>
          <t>L</t>
        </is>
      </c>
      <c r="B51" s="4" t="inlineStr">
        <is>
          <t>Ceiling light</t>
        </is>
      </c>
      <c r="C51" s="4" t="inlineStr">
        <is>
          <t>ceiling</t>
        </is>
      </c>
      <c r="D51" s="4" t="inlineStr">
        <is>
          <t>Bedroom 2</t>
        </is>
      </c>
      <c r="E51" s="4" t="n">
        <v>24</v>
      </c>
      <c r="F51" s="4" t="n">
        <v>14</v>
      </c>
      <c r="G51" s="4" t="inlineStr"/>
    </row>
    <row r="52">
      <c r="A52" s="4" t="inlineStr">
        <is>
          <t>L</t>
        </is>
      </c>
      <c r="B52" s="4" t="inlineStr">
        <is>
          <t>Ceiling light</t>
        </is>
      </c>
      <c r="C52" s="4" t="inlineStr">
        <is>
          <t>ceiling</t>
        </is>
      </c>
      <c r="D52" s="4" t="inlineStr">
        <is>
          <t>Bedroom 2</t>
        </is>
      </c>
      <c r="E52" s="4" t="n">
        <v>34</v>
      </c>
      <c r="F52" s="4" t="n">
        <v>14</v>
      </c>
      <c r="G52" s="4" t="inlineStr"/>
    </row>
    <row r="53">
      <c r="A53" s="4" t="inlineStr">
        <is>
          <t>L</t>
        </is>
      </c>
      <c r="B53" s="4" t="inlineStr">
        <is>
          <t>Ceiling light</t>
        </is>
      </c>
      <c r="C53" s="4" t="inlineStr">
        <is>
          <t>ceiling</t>
        </is>
      </c>
      <c r="D53" s="4" t="inlineStr">
        <is>
          <t>Bedroom 2</t>
        </is>
      </c>
      <c r="E53" s="4" t="n">
        <v>33</v>
      </c>
      <c r="F53" s="4" t="n">
        <v>20.5</v>
      </c>
      <c r="G53" s="4" t="inlineStr"/>
    </row>
    <row r="54">
      <c r="A54" s="4" t="inlineStr">
        <is>
          <t>S</t>
        </is>
      </c>
      <c r="B54" s="4" t="inlineStr">
        <is>
          <t>Switchboard</t>
        </is>
      </c>
      <c r="C54" s="4" t="inlineStr">
        <is>
          <t>4'-0"</t>
        </is>
      </c>
      <c r="D54" s="4" t="inlineStr">
        <is>
          <t>Bedroom 2</t>
        </is>
      </c>
      <c r="E54" s="4" t="n">
        <v>36.8</v>
      </c>
      <c r="F54" s="4" t="n">
        <v>11.4</v>
      </c>
      <c r="G54" s="4" t="inlineStr">
        <is>
          <t>at the door (latch side, on the corner return), 2-way</t>
        </is>
      </c>
    </row>
    <row r="55">
      <c r="A55" s="4" t="inlineStr">
        <is>
          <t>S</t>
        </is>
      </c>
      <c r="B55" s="4" t="inlineStr">
        <is>
          <t>Switchboard</t>
        </is>
      </c>
      <c r="C55" s="4" t="inlineStr">
        <is>
          <t>4'-0"</t>
        </is>
      </c>
      <c r="D55" s="4" t="inlineStr">
        <is>
          <t>Bedroom 2</t>
        </is>
      </c>
      <c r="E55" s="4" t="n">
        <v>37.6</v>
      </c>
      <c r="F55" s="4" t="n">
        <v>13</v>
      </c>
      <c r="G55" s="4" t="inlineStr">
        <is>
          <t>bedside, 2-way</t>
        </is>
      </c>
    </row>
    <row r="56">
      <c r="A56" s="4" t="inlineStr">
        <is>
          <t>P</t>
        </is>
      </c>
      <c r="B56" s="4" t="inlineStr">
        <is>
          <t>6 A socket</t>
        </is>
      </c>
      <c r="C56" s="4" t="inlineStr">
        <is>
          <t>1'-0"</t>
        </is>
      </c>
      <c r="D56" s="4" t="inlineStr">
        <is>
          <t>Bedroom 2</t>
        </is>
      </c>
      <c r="E56" s="4" t="n">
        <v>37.6</v>
      </c>
      <c r="F56" s="4" t="n">
        <v>13.5</v>
      </c>
      <c r="G56" s="4" t="inlineStr">
        <is>
          <t>bedside</t>
        </is>
      </c>
    </row>
    <row r="57">
      <c r="A57" s="4" t="inlineStr">
        <is>
          <t>P</t>
        </is>
      </c>
      <c r="B57" s="4" t="inlineStr">
        <is>
          <t>6 A socket</t>
        </is>
      </c>
      <c r="C57" s="4" t="inlineStr">
        <is>
          <t>1'-0"</t>
        </is>
      </c>
      <c r="D57" s="4" t="inlineStr">
        <is>
          <t>Bedroom 2</t>
        </is>
      </c>
      <c r="E57" s="4" t="n">
        <v>37.6</v>
      </c>
      <c r="F57" s="4" t="n">
        <v>19.5</v>
      </c>
      <c r="G57" s="4" t="inlineStr">
        <is>
          <t>bedside</t>
        </is>
      </c>
    </row>
    <row r="58">
      <c r="A58" s="4" t="inlineStr">
        <is>
          <t>S</t>
        </is>
      </c>
      <c r="B58" s="4" t="inlineStr">
        <is>
          <t>Switchboard</t>
        </is>
      </c>
      <c r="C58" s="4" t="inlineStr">
        <is>
          <t>4'-0"</t>
        </is>
      </c>
      <c r="D58" s="4" t="inlineStr">
        <is>
          <t>Bedroom 2</t>
        </is>
      </c>
      <c r="E58" s="4" t="n">
        <v>37.6</v>
      </c>
      <c r="F58" s="4" t="n">
        <v>19.9</v>
      </c>
      <c r="G58" s="4" t="inlineStr">
        <is>
          <t>bedside, 2-way</t>
        </is>
      </c>
    </row>
    <row r="59">
      <c r="A59" s="4" t="inlineStr">
        <is>
          <t>P</t>
        </is>
      </c>
      <c r="B59" s="4" t="inlineStr">
        <is>
          <t>6 A socket</t>
        </is>
      </c>
      <c r="C59" s="4" t="inlineStr">
        <is>
          <t>1'-0"</t>
        </is>
      </c>
      <c r="D59" s="4" t="inlineStr">
        <is>
          <t>Bedroom 2</t>
        </is>
      </c>
      <c r="E59" s="4" t="n">
        <v>37.6</v>
      </c>
      <c r="F59" s="4" t="n">
        <v>20.8</v>
      </c>
      <c r="G59" s="4" t="inlineStr">
        <is>
          <t>work table</t>
        </is>
      </c>
    </row>
    <row r="60">
      <c r="A60" s="4" t="inlineStr">
        <is>
          <t>U</t>
        </is>
      </c>
      <c r="B60" s="4" t="inlineStr">
        <is>
          <t>Inverter (UPS) socket</t>
        </is>
      </c>
      <c r="C60" s="4" t="inlineStr">
        <is>
          <t>1'-0"</t>
        </is>
      </c>
      <c r="D60" s="4" t="inlineStr">
        <is>
          <t>Bedroom 2</t>
        </is>
      </c>
      <c r="E60" s="4" t="n">
        <v>37.6</v>
      </c>
      <c r="F60" s="4" t="n">
        <v>21.6</v>
      </c>
      <c r="G60" s="4" t="inlineStr">
        <is>
          <t>work table, monitor</t>
        </is>
      </c>
    </row>
    <row r="61">
      <c r="A61" s="4" t="inlineStr">
        <is>
          <t>D</t>
        </is>
      </c>
      <c r="B61" s="4" t="inlineStr">
        <is>
          <t>Data point (Cat6)</t>
        </is>
      </c>
      <c r="C61" s="4" t="inlineStr">
        <is>
          <t>1'-0"</t>
        </is>
      </c>
      <c r="D61" s="4" t="inlineStr">
        <is>
          <t>Bedroom 2</t>
        </is>
      </c>
      <c r="E61" s="4" t="n">
        <v>37.6</v>
      </c>
      <c r="F61" s="4" t="n">
        <v>22.4</v>
      </c>
      <c r="G61" s="4" t="inlineStr">
        <is>
          <t>work table</t>
        </is>
      </c>
    </row>
    <row r="62">
      <c r="A62" s="4" t="inlineStr">
        <is>
          <t>U</t>
        </is>
      </c>
      <c r="B62" s="4" t="inlineStr">
        <is>
          <t>Inverter (UPS) socket</t>
        </is>
      </c>
      <c r="C62" s="4" t="inlineStr">
        <is>
          <t>1'-0"</t>
        </is>
      </c>
      <c r="D62" s="4" t="inlineStr">
        <is>
          <t>Bedroom 2</t>
        </is>
      </c>
      <c r="E62" s="4" t="n">
        <v>37.6</v>
      </c>
      <c r="F62" s="4" t="n">
        <v>23.2</v>
      </c>
      <c r="G62" s="4" t="inlineStr">
        <is>
          <t>work table</t>
        </is>
      </c>
    </row>
    <row r="63">
      <c r="A63" s="4" t="inlineStr">
        <is>
          <t>AC</t>
        </is>
      </c>
      <c r="B63" s="4" t="inlineStr">
        <is>
          <t>AC indoor unit (16 A socket, sleeve, drain)</t>
        </is>
      </c>
      <c r="C63" s="4" t="inlineStr">
        <is>
          <t>7'-6"</t>
        </is>
      </c>
      <c r="D63" s="4" t="inlineStr">
        <is>
          <t>Bedroom 2</t>
        </is>
      </c>
      <c r="E63" s="4" t="n">
        <v>28.4</v>
      </c>
      <c r="F63" s="4" t="n">
        <v>24</v>
      </c>
      <c r="G63" s="4" t="inlineStr">
        <is>
          <t>high on the bath's east wall near the north corner, throws east toward the bed foot</t>
        </is>
      </c>
    </row>
    <row r="64">
      <c r="A64" s="4" t="inlineStr">
        <is>
          <t>WL</t>
        </is>
      </c>
      <c r="B64" s="4" t="inlineStr">
        <is>
          <t>Wall light / mirror light</t>
        </is>
      </c>
      <c r="C64" s="4" t="inlineStr">
        <is>
          <t>6'-6"</t>
        </is>
      </c>
      <c r="D64" s="4" t="inlineStr">
        <is>
          <t>Sitting and serving area (open)</t>
        </is>
      </c>
      <c r="E64" s="4" t="n">
        <v>41.1</v>
      </c>
      <c r="F64" s="4" t="n">
        <v>4.4</v>
      </c>
      <c r="G64" s="4" t="inlineStr">
        <is>
          <t>over basin, on the common bath wall</t>
        </is>
      </c>
    </row>
    <row r="65">
      <c r="A65" s="4" t="inlineStr">
        <is>
          <t>ODU</t>
        </is>
      </c>
      <c r="B65" s="4" t="inlineStr">
        <is>
          <t>AC outdoor unit bracket</t>
        </is>
      </c>
      <c r="C65" s="4" t="inlineStr">
        <is>
          <t>7'-0" outside</t>
        </is>
      </c>
      <c r="D65" s="4" t="inlineStr">
        <is>
          <t>Bedroom 2</t>
        </is>
      </c>
      <c r="E65" s="4" t="n">
        <v>29.5</v>
      </c>
      <c r="F65" s="4" t="n">
        <v>25.6</v>
      </c>
      <c r="G65" s="4" t="inlineStr">
        <is>
          <t>north wall, shaded</t>
        </is>
      </c>
    </row>
    <row r="66">
      <c r="A66" s="4" t="inlineStr">
        <is>
          <t>L</t>
        </is>
      </c>
      <c r="B66" s="4" t="inlineStr">
        <is>
          <t>Ceiling light</t>
        </is>
      </c>
      <c r="C66" s="4" t="inlineStr">
        <is>
          <t>ceiling</t>
        </is>
      </c>
      <c r="D66" s="4" t="inlineStr">
        <is>
          <t>Dining bay (north window)</t>
        </is>
      </c>
      <c r="E66" s="4" t="n">
        <v>41.5</v>
      </c>
      <c r="F66" s="4" t="n">
        <v>21.5</v>
      </c>
      <c r="G66" s="4" t="inlineStr"/>
    </row>
    <row r="67">
      <c r="A67" s="4" t="inlineStr">
        <is>
          <t>F</t>
        </is>
      </c>
      <c r="B67" s="4" t="inlineStr">
        <is>
          <t>Ceiling fan point</t>
        </is>
      </c>
      <c r="C67" s="4" t="inlineStr">
        <is>
          <t>ceiling</t>
        </is>
      </c>
      <c r="D67" s="4" t="inlineStr">
        <is>
          <t>Dining bay (north window)</t>
        </is>
      </c>
      <c r="E67" s="4" t="n">
        <v>45</v>
      </c>
      <c r="F67" s="4" t="n">
        <v>21.5</v>
      </c>
      <c r="G67" s="4" t="inlineStr">
        <is>
          <t>long downrod, over the seating</t>
        </is>
      </c>
    </row>
    <row r="68">
      <c r="A68" s="4" t="inlineStr">
        <is>
          <t>P</t>
        </is>
      </c>
      <c r="B68" s="4" t="inlineStr">
        <is>
          <t>6 A socket</t>
        </is>
      </c>
      <c r="C68" s="4" t="inlineStr">
        <is>
          <t>1'-0"</t>
        </is>
      </c>
      <c r="D68" s="4" t="inlineStr">
        <is>
          <t>Dining bay (north window)</t>
        </is>
      </c>
      <c r="E68" s="4" t="n">
        <v>48.6</v>
      </c>
      <c r="F68" s="4" t="n">
        <v>24.6</v>
      </c>
      <c r="G68" s="4" t="inlineStr"/>
    </row>
    <row r="69">
      <c r="A69" s="4" t="inlineStr">
        <is>
          <t>TV</t>
        </is>
      </c>
      <c r="B69" s="4" t="inlineStr">
        <is>
          <t>TV + data point</t>
        </is>
      </c>
      <c r="C69" s="4" t="inlineStr">
        <is>
          <t>3'-6"</t>
        </is>
      </c>
      <c r="D69" s="4" t="inlineStr">
        <is>
          <t>Dining bay (north window)</t>
        </is>
      </c>
      <c r="E69" s="4" t="n">
        <v>38.4</v>
      </c>
      <c r="F69" s="4" t="n">
        <v>22.4</v>
      </c>
      <c r="G69" s="4" t="inlineStr">
        <is>
          <t>TV wall: 2 sockets + data + HDMI conduit to the unit</t>
        </is>
      </c>
    </row>
    <row r="70">
      <c r="A70" s="4" t="inlineStr">
        <is>
          <t>P</t>
        </is>
      </c>
      <c r="B70" s="4" t="inlineStr">
        <is>
          <t>6 A socket</t>
        </is>
      </c>
      <c r="C70" s="4" t="inlineStr">
        <is>
          <t>1'-0"</t>
        </is>
      </c>
      <c r="D70" s="4" t="inlineStr">
        <is>
          <t>Dining bay (north window)</t>
        </is>
      </c>
      <c r="E70" s="4" t="n">
        <v>38.4</v>
      </c>
      <c r="F70" s="4" t="n">
        <v>21</v>
      </c>
      <c r="G70" s="4" t="inlineStr">
        <is>
          <t>TV unit</t>
        </is>
      </c>
    </row>
    <row r="71">
      <c r="A71" s="4" t="inlineStr">
        <is>
          <t>AC</t>
        </is>
      </c>
      <c r="B71" s="4" t="inlineStr">
        <is>
          <t>AC indoor unit (16 A socket, sleeve, drain)</t>
        </is>
      </c>
      <c r="C71" s="4" t="inlineStr">
        <is>
          <t>7'-6"</t>
        </is>
      </c>
      <c r="D71" s="4" t="inlineStr">
        <is>
          <t>Dining bay (north window)</t>
        </is>
      </c>
      <c r="E71" s="4" t="n">
        <v>38.4</v>
      </c>
      <c r="F71" s="4" t="n">
        <v>20</v>
      </c>
      <c r="G71" s="4" t="inlineStr">
        <is>
          <t>above the TV unit, throws east over the seating</t>
        </is>
      </c>
    </row>
    <row r="72">
      <c r="A72" s="4" t="inlineStr">
        <is>
          <t>ODU</t>
        </is>
      </c>
      <c r="B72" s="4" t="inlineStr">
        <is>
          <t>AC outdoor unit bracket</t>
        </is>
      </c>
      <c r="C72" s="4" t="inlineStr">
        <is>
          <t>7'-0" outside</t>
        </is>
      </c>
      <c r="D72" s="4" t="inlineStr">
        <is>
          <t>Dining bay (north window)</t>
        </is>
      </c>
      <c r="E72" s="4" t="n">
        <v>40</v>
      </c>
      <c r="F72" s="4" t="n">
        <v>25.6</v>
      </c>
      <c r="G72" s="4" t="inlineStr">
        <is>
          <t>north wall, shaded</t>
        </is>
      </c>
    </row>
    <row r="73">
      <c r="A73" s="4" t="inlineStr">
        <is>
          <t>L</t>
        </is>
      </c>
      <c r="B73" s="4" t="inlineStr">
        <is>
          <t>Ceiling light</t>
        </is>
      </c>
      <c r="C73" s="4" t="inlineStr">
        <is>
          <t>ceiling</t>
        </is>
      </c>
      <c r="D73" s="4" t="inlineStr">
        <is>
          <t>Dining</t>
        </is>
      </c>
      <c r="E73" s="4" t="n">
        <v>44.5</v>
      </c>
      <c r="F73" s="4" t="n">
        <v>15</v>
      </c>
      <c r="G73" s="4" t="inlineStr">
        <is>
          <t>pendant</t>
        </is>
      </c>
    </row>
    <row r="74">
      <c r="A74" s="4" t="inlineStr">
        <is>
          <t>WL</t>
        </is>
      </c>
      <c r="B74" s="4" t="inlineStr">
        <is>
          <t>Wall light / mirror light</t>
        </is>
      </c>
      <c r="C74" s="4" t="inlineStr">
        <is>
          <t>6'-6"</t>
        </is>
      </c>
      <c r="D74" s="4" t="inlineStr">
        <is>
          <t>Dining</t>
        </is>
      </c>
      <c r="E74" s="4" t="n">
        <v>38.4</v>
      </c>
      <c r="F74" s="4" t="n">
        <v>17.3</v>
      </c>
      <c r="G74" s="4" t="inlineStr">
        <is>
          <t>inside the lamp niche</t>
        </is>
      </c>
    </row>
    <row r="75">
      <c r="A75" s="4" t="inlineStr">
        <is>
          <t>P</t>
        </is>
      </c>
      <c r="B75" s="4" t="inlineStr">
        <is>
          <t>6 A socket</t>
        </is>
      </c>
      <c r="C75" s="4" t="inlineStr">
        <is>
          <t>1'-0"</t>
        </is>
      </c>
      <c r="D75" s="4" t="inlineStr">
        <is>
          <t>Dining</t>
        </is>
      </c>
      <c r="E75" s="4" t="n">
        <v>38.4</v>
      </c>
      <c r="F75" s="4" t="n">
        <v>16.2</v>
      </c>
      <c r="G75" s="4" t="inlineStr"/>
    </row>
    <row r="76">
      <c r="A76" s="4" t="inlineStr">
        <is>
          <t>S</t>
        </is>
      </c>
      <c r="B76" s="4" t="inlineStr">
        <is>
          <t>Switchboard</t>
        </is>
      </c>
      <c r="C76" s="4" t="inlineStr">
        <is>
          <t>4'-0"</t>
        </is>
      </c>
      <c r="D76" s="4" t="inlineStr">
        <is>
          <t>Dining</t>
        </is>
      </c>
      <c r="E76" s="4" t="n">
        <v>38.4</v>
      </c>
      <c r="F76" s="4" t="n">
        <v>13.7</v>
      </c>
      <c r="G76" s="4" t="inlineStr">
        <is>
          <t>dining and bay, at the passage</t>
        </is>
      </c>
    </row>
    <row r="77">
      <c r="A77" s="4" t="inlineStr">
        <is>
          <t>L</t>
        </is>
      </c>
      <c r="B77" s="4" t="inlineStr">
        <is>
          <t>Ceiling light</t>
        </is>
      </c>
      <c r="C77" s="4" t="inlineStr">
        <is>
          <t>ceiling</t>
        </is>
      </c>
      <c r="D77" s="4" t="inlineStr">
        <is>
          <t>Sitting and serving area (open)</t>
        </is>
      </c>
      <c r="E77" s="4" t="n">
        <v>30.5</v>
      </c>
      <c r="F77" s="4" t="n">
        <v>6.75</v>
      </c>
      <c r="G77" s="4" t="inlineStr"/>
    </row>
    <row r="78">
      <c r="A78" s="4" t="inlineStr">
        <is>
          <t>S</t>
        </is>
      </c>
      <c r="B78" s="4" t="inlineStr">
        <is>
          <t>Switchboard</t>
        </is>
      </c>
      <c r="C78" s="4" t="inlineStr">
        <is>
          <t>4'-0"</t>
        </is>
      </c>
      <c r="D78" s="4" t="inlineStr">
        <is>
          <t>Sitting and serving area (open)</t>
        </is>
      </c>
      <c r="E78" s="4" t="n">
        <v>21.4</v>
      </c>
      <c r="F78" s="4" t="n">
        <v>6</v>
      </c>
      <c r="G78" s="4" t="inlineStr"/>
    </row>
    <row r="79">
      <c r="A79" s="4" t="inlineStr">
        <is>
          <t>INV</t>
        </is>
      </c>
      <c r="B79" s="4" t="inlineStr">
        <is>
          <t>Inverter + battery</t>
        </is>
      </c>
      <c r="C79" s="4" t="inlineStr">
        <is>
          <t>floor</t>
        </is>
      </c>
      <c r="D79" s="4" t="inlineStr">
        <is>
          <t>Sitting and serving area (open)</t>
        </is>
      </c>
      <c r="E79" s="4" t="n">
        <v>22</v>
      </c>
      <c r="F79" s="4" t="n">
        <v>5</v>
      </c>
      <c r="G79" s="4" t="inlineStr">
        <is>
          <t>lithium inverter in a ventilated cabinet under the bench</t>
        </is>
      </c>
    </row>
    <row r="80">
      <c r="A80" s="4" t="inlineStr">
        <is>
          <t>L</t>
        </is>
      </c>
      <c r="B80" s="4" t="inlineStr">
        <is>
          <t>Ceiling light</t>
        </is>
      </c>
      <c r="C80" s="4" t="inlineStr">
        <is>
          <t>ceiling</t>
        </is>
      </c>
      <c r="D80" s="4" t="inlineStr">
        <is>
          <t>Wet area (open to the walkway)</t>
        </is>
      </c>
      <c r="E80" s="4" t="n">
        <v>50</v>
      </c>
      <c r="F80" s="4" t="n">
        <v>5.5</v>
      </c>
      <c r="G80" s="4" t="inlineStr">
        <is>
          <t>weatherproof</t>
        </is>
      </c>
    </row>
    <row r="81">
      <c r="A81" s="4" t="inlineStr">
        <is>
          <t>P16</t>
        </is>
      </c>
      <c r="B81" s="4" t="inlineStr">
        <is>
          <t>16 A power socket</t>
        </is>
      </c>
      <c r="C81" s="4" t="inlineStr">
        <is>
          <t>varies</t>
        </is>
      </c>
      <c r="D81" s="4" t="inlineStr">
        <is>
          <t>Wet area (open to the walkway)</t>
        </is>
      </c>
      <c r="E81" s="4" t="n">
        <v>48.5</v>
      </c>
      <c r="F81" s="4" t="n">
        <v>8.699999999999999</v>
      </c>
      <c r="G81" s="4" t="inlineStr">
        <is>
          <t>washing machine</t>
        </is>
      </c>
    </row>
    <row r="82">
      <c r="A82" s="4" t="inlineStr">
        <is>
          <t>P</t>
        </is>
      </c>
      <c r="B82" s="4" t="inlineStr">
        <is>
          <t>6 A socket</t>
        </is>
      </c>
      <c r="C82" s="4" t="inlineStr">
        <is>
          <t>1'-0"</t>
        </is>
      </c>
      <c r="D82" s="4" t="inlineStr">
        <is>
          <t>Wet area (open to the walkway)</t>
        </is>
      </c>
      <c r="E82" s="4" t="n">
        <v>52.6</v>
      </c>
      <c r="F82" s="4" t="n">
        <v>6</v>
      </c>
      <c r="G82" s="4" t="inlineStr">
        <is>
          <t>utility, weatherproof</t>
        </is>
      </c>
    </row>
    <row r="83">
      <c r="A83" s="4" t="inlineStr">
        <is>
          <t>L</t>
        </is>
      </c>
      <c r="B83" s="4" t="inlineStr">
        <is>
          <t>Ceiling light</t>
        </is>
      </c>
      <c r="C83" s="4" t="inlineStr">
        <is>
          <t>ceiling</t>
        </is>
      </c>
      <c r="D83" s="4" t="inlineStr">
        <is>
          <t>Kitchen</t>
        </is>
      </c>
      <c r="E83" s="4" t="n">
        <v>62</v>
      </c>
      <c r="F83" s="4" t="n">
        <v>8</v>
      </c>
      <c r="G83" s="4" t="inlineStr"/>
    </row>
    <row r="84">
      <c r="A84" s="4" t="inlineStr">
        <is>
          <t>WL</t>
        </is>
      </c>
      <c r="B84" s="4" t="inlineStr">
        <is>
          <t>Wall light / mirror light</t>
        </is>
      </c>
      <c r="C84" s="4" t="inlineStr">
        <is>
          <t>6'-6"</t>
        </is>
      </c>
      <c r="D84" s="4" t="inlineStr">
        <is>
          <t>Kitchen</t>
        </is>
      </c>
      <c r="E84" s="4" t="n">
        <v>61</v>
      </c>
      <c r="F84" s="4" t="n">
        <v>3.5</v>
      </c>
      <c r="G84" s="4" t="inlineStr">
        <is>
          <t>under-cabinet</t>
        </is>
      </c>
    </row>
    <row r="85">
      <c r="A85" s="4" t="inlineStr">
        <is>
          <t>WL</t>
        </is>
      </c>
      <c r="B85" s="4" t="inlineStr">
        <is>
          <t>Wall light / mirror light</t>
        </is>
      </c>
      <c r="C85" s="4" t="inlineStr">
        <is>
          <t>6'-6"</t>
        </is>
      </c>
      <c r="D85" s="4" t="inlineStr">
        <is>
          <t>Kitchen</t>
        </is>
      </c>
      <c r="E85" s="4" t="n">
        <v>66.5</v>
      </c>
      <c r="F85" s="4" t="n">
        <v>9.6</v>
      </c>
      <c r="G85" s="4" t="inlineStr">
        <is>
          <t>under-cabinet</t>
        </is>
      </c>
    </row>
    <row r="86">
      <c r="A86" s="4" t="inlineStr">
        <is>
          <t>CH</t>
        </is>
      </c>
      <c r="B86" s="4" t="inlineStr">
        <is>
          <t>Kitchen chimney point (16 A)</t>
        </is>
      </c>
      <c r="C86" s="4" t="inlineStr">
        <is>
          <t>7'-0"</t>
        </is>
      </c>
      <c r="D86" s="4" t="inlineStr">
        <is>
          <t>Kitchen</t>
        </is>
      </c>
      <c r="E86" s="4" t="n">
        <v>66.59999999999999</v>
      </c>
      <c r="F86" s="4" t="n">
        <v>7.5</v>
      </c>
      <c r="G86" s="4" t="inlineStr">
        <is>
          <t>3 ft chimney on solid wall, duct out through the east wall</t>
        </is>
      </c>
    </row>
    <row r="87">
      <c r="A87" s="4" t="inlineStr">
        <is>
          <t>PC</t>
        </is>
      </c>
      <c r="B87" s="4" t="inlineStr">
        <is>
          <t>6 A socket at counter</t>
        </is>
      </c>
      <c r="C87" s="4" t="inlineStr">
        <is>
          <t>3'-6"</t>
        </is>
      </c>
      <c r="D87" s="4" t="inlineStr">
        <is>
          <t>Kitchen</t>
        </is>
      </c>
      <c r="E87" s="4" t="n">
        <v>54</v>
      </c>
      <c r="F87" s="4" t="n">
        <v>3.5</v>
      </c>
      <c r="G87" s="4" t="inlineStr"/>
    </row>
    <row r="88">
      <c r="A88" s="4" t="inlineStr">
        <is>
          <t>PC</t>
        </is>
      </c>
      <c r="B88" s="4" t="inlineStr">
        <is>
          <t>6 A socket at counter</t>
        </is>
      </c>
      <c r="C88" s="4" t="inlineStr">
        <is>
          <t>3'-6"</t>
        </is>
      </c>
      <c r="D88" s="4" t="inlineStr">
        <is>
          <t>Kitchen</t>
        </is>
      </c>
      <c r="E88" s="4" t="n">
        <v>57.8</v>
      </c>
      <c r="F88" s="4" t="n">
        <v>3.5</v>
      </c>
      <c r="G88" s="4" t="inlineStr">
        <is>
          <t>microwave / OTG</t>
        </is>
      </c>
    </row>
    <row r="89">
      <c r="A89" s="4" t="inlineStr">
        <is>
          <t>PC</t>
        </is>
      </c>
      <c r="B89" s="4" t="inlineStr">
        <is>
          <t>6 A socket at counter</t>
        </is>
      </c>
      <c r="C89" s="4" t="inlineStr">
        <is>
          <t>3'-6"</t>
        </is>
      </c>
      <c r="D89" s="4" t="inlineStr">
        <is>
          <t>Kitchen</t>
        </is>
      </c>
      <c r="E89" s="4" t="n">
        <v>65.3</v>
      </c>
      <c r="F89" s="4" t="n">
        <v>3.5</v>
      </c>
      <c r="G89" s="4" t="inlineStr">
        <is>
          <t>mixer</t>
        </is>
      </c>
    </row>
    <row r="90">
      <c r="A90" s="4" t="inlineStr">
        <is>
          <t>PC</t>
        </is>
      </c>
      <c r="B90" s="4" t="inlineStr">
        <is>
          <t>6 A socket at counter</t>
        </is>
      </c>
      <c r="C90" s="4" t="inlineStr">
        <is>
          <t>3'-6"</t>
        </is>
      </c>
      <c r="D90" s="4" t="inlineStr">
        <is>
          <t>Kitchen</t>
        </is>
      </c>
      <c r="E90" s="4" t="n">
        <v>66.59999999999999</v>
      </c>
      <c r="F90" s="4" t="n">
        <v>5.6</v>
      </c>
      <c r="G90" s="4" t="inlineStr"/>
    </row>
    <row r="91">
      <c r="A91" s="4" t="inlineStr">
        <is>
          <t>PC</t>
        </is>
      </c>
      <c r="B91" s="4" t="inlineStr">
        <is>
          <t>6 A socket at counter</t>
        </is>
      </c>
      <c r="C91" s="4" t="inlineStr">
        <is>
          <t>3'-6"</t>
        </is>
      </c>
      <c r="D91" s="4" t="inlineStr">
        <is>
          <t>Kitchen</t>
        </is>
      </c>
      <c r="E91" s="4" t="n">
        <v>66.59999999999999</v>
      </c>
      <c r="F91" s="4" t="n">
        <v>9.6</v>
      </c>
      <c r="G91" s="4" t="inlineStr"/>
    </row>
    <row r="92">
      <c r="A92" s="4" t="inlineStr">
        <is>
          <t>PC</t>
        </is>
      </c>
      <c r="B92" s="4" t="inlineStr">
        <is>
          <t>6 A socket at counter</t>
        </is>
      </c>
      <c r="C92" s="4" t="inlineStr">
        <is>
          <t>3'-6"</t>
        </is>
      </c>
      <c r="D92" s="4" t="inlineStr">
        <is>
          <t>Kitchen</t>
        </is>
      </c>
      <c r="E92" s="4" t="n">
        <v>58.2</v>
      </c>
      <c r="F92" s="4" t="n">
        <v>3.5</v>
      </c>
      <c r="G92" s="4" t="inlineStr">
        <is>
          <t>RO purifier, by sink</t>
        </is>
      </c>
    </row>
    <row r="93">
      <c r="A93" s="4" t="inlineStr">
        <is>
          <t>S</t>
        </is>
      </c>
      <c r="B93" s="4" t="inlineStr">
        <is>
          <t>Switchboard</t>
        </is>
      </c>
      <c r="C93" s="4" t="inlineStr">
        <is>
          <t>4'-0"</t>
        </is>
      </c>
      <c r="D93" s="4" t="inlineStr">
        <is>
          <t>Kitchen</t>
        </is>
      </c>
      <c r="E93" s="4" t="n">
        <v>53.4</v>
      </c>
      <c r="F93" s="4" t="n">
        <v>9</v>
      </c>
      <c r="G93" s="4" t="inlineStr">
        <is>
          <t>beside the entry, latch side</t>
        </is>
      </c>
    </row>
    <row r="94">
      <c r="A94" s="4" t="inlineStr">
        <is>
          <t>F</t>
        </is>
      </c>
      <c r="B94" s="4" t="inlineStr">
        <is>
          <t>Ceiling fan point</t>
        </is>
      </c>
      <c r="C94" s="4" t="inlineStr">
        <is>
          <t>ceiling</t>
        </is>
      </c>
      <c r="D94" s="4" t="inlineStr">
        <is>
          <t>Living</t>
        </is>
      </c>
      <c r="E94" s="4" t="n">
        <v>55</v>
      </c>
      <c r="F94" s="4" t="n">
        <v>19</v>
      </c>
      <c r="G94" s="4" t="inlineStr">
        <is>
          <t>long downrod</t>
        </is>
      </c>
    </row>
    <row r="95">
      <c r="A95" s="4" t="inlineStr">
        <is>
          <t>L</t>
        </is>
      </c>
      <c r="B95" s="4" t="inlineStr">
        <is>
          <t>Ceiling light</t>
        </is>
      </c>
      <c r="C95" s="4" t="inlineStr">
        <is>
          <t>ceiling</t>
        </is>
      </c>
      <c r="D95" s="4" t="inlineStr">
        <is>
          <t>Living</t>
        </is>
      </c>
      <c r="E95" s="4" t="n">
        <v>54.9</v>
      </c>
      <c r="F95" s="4" t="n">
        <v>22.8</v>
      </c>
      <c r="G95" s="4" t="inlineStr">
        <is>
          <t>over the diwan</t>
        </is>
      </c>
    </row>
    <row r="96">
      <c r="A96" s="4" t="inlineStr">
        <is>
          <t>L</t>
        </is>
      </c>
      <c r="B96" s="4" t="inlineStr">
        <is>
          <t>Ceiling light</t>
        </is>
      </c>
      <c r="C96" s="4" t="inlineStr">
        <is>
          <t>ceiling</t>
        </is>
      </c>
      <c r="D96" s="4" t="inlineStr">
        <is>
          <t>Living</t>
        </is>
      </c>
      <c r="E96" s="4" t="n">
        <v>55</v>
      </c>
      <c r="F96" s="4" t="n">
        <v>16</v>
      </c>
      <c r="G96" s="4" t="inlineStr"/>
    </row>
    <row r="97">
      <c r="A97" s="4" t="inlineStr">
        <is>
          <t>P</t>
        </is>
      </c>
      <c r="B97" s="4" t="inlineStr">
        <is>
          <t>6 A socket</t>
        </is>
      </c>
      <c r="C97" s="4" t="inlineStr">
        <is>
          <t>1'-0"</t>
        </is>
      </c>
      <c r="D97" s="4" t="inlineStr">
        <is>
          <t>Dining bay (north window)</t>
        </is>
      </c>
      <c r="E97" s="4" t="n">
        <v>48.4</v>
      </c>
      <c r="F97" s="4" t="n">
        <v>18.6</v>
      </c>
      <c r="G97" s="4" t="inlineStr">
        <is>
          <t>floor socket, sofa end</t>
        </is>
      </c>
    </row>
    <row r="98">
      <c r="A98" s="4" t="inlineStr">
        <is>
          <t>P</t>
        </is>
      </c>
      <c r="B98" s="4" t="inlineStr">
        <is>
          <t>6 A socket</t>
        </is>
      </c>
      <c r="C98" s="4" t="inlineStr">
        <is>
          <t>1'-0"</t>
        </is>
      </c>
      <c r="D98" s="4" t="inlineStr">
        <is>
          <t>Living</t>
        </is>
      </c>
      <c r="E98" s="4" t="n">
        <v>51</v>
      </c>
      <c r="F98" s="4" t="n">
        <v>20.3</v>
      </c>
      <c r="G98" s="4" t="inlineStr">
        <is>
          <t>floor socket, armchair and diwan (lamp, charger)</t>
        </is>
      </c>
    </row>
    <row r="99">
      <c r="A99" s="4" t="inlineStr">
        <is>
          <t>S</t>
        </is>
      </c>
      <c r="B99" s="4" t="inlineStr">
        <is>
          <t>Switchboard</t>
        </is>
      </c>
      <c r="C99" s="4" t="inlineStr">
        <is>
          <t>4'-0"</t>
        </is>
      </c>
      <c r="D99" s="4" t="inlineStr">
        <is>
          <t>Living</t>
        </is>
      </c>
      <c r="E99" s="4" t="n">
        <v>60.6</v>
      </c>
      <c r="F99" s="4" t="n">
        <v>21</v>
      </c>
      <c r="G99" s="4" t="inlineStr">
        <is>
          <t>main switch at door</t>
        </is>
      </c>
    </row>
    <row r="100">
      <c r="A100" s="4" t="inlineStr">
        <is>
          <t>DB</t>
        </is>
      </c>
      <c r="B100" s="4" t="inlineStr">
        <is>
          <t>Distribution board</t>
        </is>
      </c>
      <c r="C100" s="4" t="inlineStr">
        <is>
          <t>5'-0" to top</t>
        </is>
      </c>
      <c r="D100" s="4" t="inlineStr">
        <is>
          <t>Dining</t>
        </is>
      </c>
      <c r="E100" s="4" t="n">
        <v>38.4</v>
      </c>
      <c r="F100" s="4" t="n">
        <v>12.6</v>
      </c>
      <c r="G100" s="4" t="inlineStr">
        <is>
          <t>dining face of Bedroom 2's east wall, by the passage; dry wall away from the pooja and wet area</t>
        </is>
      </c>
    </row>
    <row r="101">
      <c r="A101" s="4" t="inlineStr">
        <is>
          <t>P16</t>
        </is>
      </c>
      <c r="B101" s="4" t="inlineStr">
        <is>
          <t>16 A power socket</t>
        </is>
      </c>
      <c r="C101" s="4" t="inlineStr">
        <is>
          <t>varies</t>
        </is>
      </c>
      <c r="D101" s="4" t="inlineStr">
        <is>
          <t>Dining</t>
        </is>
      </c>
      <c r="E101" s="4" t="n">
        <v>49.55</v>
      </c>
      <c r="F101" s="4" t="n">
        <v>9.4</v>
      </c>
      <c r="G101" s="4" t="inlineStr">
        <is>
          <t>refrigerator, behind the fridge (dining alcove)</t>
        </is>
      </c>
    </row>
    <row r="102">
      <c r="A102" s="4" t="inlineStr">
        <is>
          <t>U</t>
        </is>
      </c>
      <c r="B102" s="4" t="inlineStr">
        <is>
          <t>Inverter (UPS) socket</t>
        </is>
      </c>
      <c r="C102" s="4" t="inlineStr">
        <is>
          <t>1'-0"</t>
        </is>
      </c>
      <c r="D102" s="4" t="inlineStr">
        <is>
          <t>Dining</t>
        </is>
      </c>
      <c r="E102" s="4" t="n">
        <v>38.4</v>
      </c>
      <c r="F102" s="4" t="n">
        <v>14.6</v>
      </c>
      <c r="G102" s="4" t="inlineStr">
        <is>
          <t>router (central)</t>
        </is>
      </c>
    </row>
    <row r="103">
      <c r="A103" s="4" t="inlineStr">
        <is>
          <t>L</t>
        </is>
      </c>
      <c r="B103" s="4" t="inlineStr">
        <is>
          <t>Ceiling light</t>
        </is>
      </c>
      <c r="C103" s="4" t="inlineStr">
        <is>
          <t>ceiling</t>
        </is>
      </c>
      <c r="D103" s="4" t="inlineStr">
        <is>
          <t>Poomukham (verandah)</t>
        </is>
      </c>
      <c r="E103" s="4" t="n">
        <v>64</v>
      </c>
      <c r="F103" s="4" t="n">
        <v>16</v>
      </c>
      <c r="G103" s="4" t="inlineStr"/>
    </row>
    <row r="104">
      <c r="A104" s="4" t="inlineStr">
        <is>
          <t>L</t>
        </is>
      </c>
      <c r="B104" s="4" t="inlineStr">
        <is>
          <t>Ceiling light</t>
        </is>
      </c>
      <c r="C104" s="4" t="inlineStr">
        <is>
          <t>ceiling</t>
        </is>
      </c>
      <c r="D104" s="4" t="inlineStr">
        <is>
          <t>Poomukham (verandah)</t>
        </is>
      </c>
      <c r="E104" s="4" t="n">
        <v>64</v>
      </c>
      <c r="F104" s="4" t="n">
        <v>22</v>
      </c>
      <c r="G104" s="4" t="inlineStr"/>
    </row>
    <row r="105">
      <c r="A105" s="4" t="inlineStr">
        <is>
          <t>BELL</t>
        </is>
      </c>
      <c r="B105" s="4" t="inlineStr">
        <is>
          <t>Bell push</t>
        </is>
      </c>
      <c r="C105" s="4" t="inlineStr">
        <is>
          <t>4'-6"</t>
        </is>
      </c>
      <c r="D105" s="4" t="inlineStr">
        <is>
          <t>Poomukham (verandah)</t>
        </is>
      </c>
      <c r="E105" s="4" t="n">
        <v>61.4</v>
      </c>
      <c r="F105" s="4" t="n">
        <v>21</v>
      </c>
      <c r="G105" s="4" t="inlineStr"/>
    </row>
    <row r="106">
      <c r="A106" s="4" t="inlineStr">
        <is>
          <t>CAM</t>
        </is>
      </c>
      <c r="B106" s="4" t="inlineStr">
        <is>
          <t>CCTV point</t>
        </is>
      </c>
      <c r="C106" s="4" t="inlineStr">
        <is>
          <t>8'-0"</t>
        </is>
      </c>
      <c r="D106" s="4" t="inlineStr">
        <is>
          <t>Poomukham (verandah)</t>
        </is>
      </c>
      <c r="E106" s="4" t="n">
        <v>66.5</v>
      </c>
      <c r="F106" s="4" t="n">
        <v>24.6</v>
      </c>
      <c r="G106" s="4" t="inlineStr">
        <is>
          <t>covers gate and door</t>
        </is>
      </c>
    </row>
    <row r="107">
      <c r="A107" s="4" t="inlineStr">
        <is>
          <t>P</t>
        </is>
      </c>
      <c r="B107" s="4" t="inlineStr">
        <is>
          <t>6 A socket</t>
        </is>
      </c>
      <c r="C107" s="4" t="inlineStr">
        <is>
          <t>1'-0"</t>
        </is>
      </c>
      <c r="D107" s="4" t="inlineStr">
        <is>
          <t>Poomukham (verandah)</t>
        </is>
      </c>
      <c r="E107" s="4" t="n">
        <v>61.4</v>
      </c>
      <c r="F107" s="4" t="n">
        <v>24</v>
      </c>
      <c r="G107" s="4" t="inlineStr">
        <is>
          <t>outdoor, weatherproof</t>
        </is>
      </c>
    </row>
    <row r="108">
      <c r="A108" s="4" t="inlineStr">
        <is>
          <t>S</t>
        </is>
      </c>
      <c r="B108" s="4" t="inlineStr">
        <is>
          <t>Switchboard</t>
        </is>
      </c>
      <c r="C108" s="4" t="inlineStr">
        <is>
          <t>4'-0"</t>
        </is>
      </c>
      <c r="D108" s="4" t="inlineStr">
        <is>
          <t>Poomukham (verandah)</t>
        </is>
      </c>
      <c r="E108" s="4" t="n">
        <v>61.4</v>
      </c>
      <c r="F108" s="4" t="n">
        <v>21.5</v>
      </c>
      <c r="G108" s="4" t="inlineStr"/>
    </row>
    <row r="109">
      <c r="A109" s="4" t="inlineStr">
        <is>
          <t>MTR</t>
        </is>
      </c>
      <c r="B109" s="4" t="inlineStr">
        <is>
          <t>Meter at gate</t>
        </is>
      </c>
      <c r="C109" s="4" t="inlineStr">
        <is>
          <t>5'-0"</t>
        </is>
      </c>
      <c r="D109" s="4" t="inlineStr">
        <is>
          <t>Site</t>
        </is>
      </c>
      <c r="E109" s="4" t="n">
        <v>74.59999999999999</v>
      </c>
      <c r="F109" s="4" t="n">
        <v>23.2</v>
      </c>
      <c r="G109" s="4" t="inlineStr">
        <is>
          <t>meter in compound wall by gate</t>
        </is>
      </c>
    </row>
    <row r="110">
      <c r="A110" s="4" t="inlineStr">
        <is>
          <t>GL</t>
        </is>
      </c>
      <c r="B110" s="4" t="inlineStr">
        <is>
          <t>Outdoor / gate light</t>
        </is>
      </c>
      <c r="C110" s="4" t="inlineStr">
        <is>
          <t>7'-0"</t>
        </is>
      </c>
      <c r="D110" s="4" t="inlineStr">
        <is>
          <t>Site</t>
        </is>
      </c>
      <c r="E110" s="4" t="n">
        <v>74.7</v>
      </c>
      <c r="F110" s="4" t="n">
        <v>15.3</v>
      </c>
      <c r="G110" s="4" t="inlineStr">
        <is>
          <t>gate post light</t>
        </is>
      </c>
    </row>
    <row r="111">
      <c r="A111" s="4" t="inlineStr">
        <is>
          <t>GL</t>
        </is>
      </c>
      <c r="B111" s="4" t="inlineStr">
        <is>
          <t>Outdoor / gate light</t>
        </is>
      </c>
      <c r="C111" s="4" t="inlineStr">
        <is>
          <t>7'-0"</t>
        </is>
      </c>
      <c r="D111" s="4" t="inlineStr">
        <is>
          <t>Site</t>
        </is>
      </c>
      <c r="E111" s="4" t="n">
        <v>74.7</v>
      </c>
      <c r="F111" s="4" t="n">
        <v>22.9</v>
      </c>
      <c r="G111" s="4" t="inlineStr">
        <is>
          <t>gate post light</t>
        </is>
      </c>
    </row>
    <row r="112">
      <c r="A112" s="4" t="inlineStr">
        <is>
          <t>GL</t>
        </is>
      </c>
      <c r="B112" s="4" t="inlineStr">
        <is>
          <t>Outdoor / gate light</t>
        </is>
      </c>
      <c r="C112" s="4" t="inlineStr">
        <is>
          <t>7'-0"</t>
        </is>
      </c>
      <c r="D112" s="4" t="inlineStr">
        <is>
          <t>Poomukham (verandah)</t>
        </is>
      </c>
      <c r="E112" s="4" t="n">
        <v>66.40000000000001</v>
      </c>
      <c r="F112" s="4" t="n">
        <v>16.4</v>
      </c>
      <c r="G112" s="4" t="inlineStr">
        <is>
          <t>uplight at the pillar base</t>
        </is>
      </c>
    </row>
    <row r="113">
      <c r="A113" s="4" t="inlineStr">
        <is>
          <t>GL</t>
        </is>
      </c>
      <c r="B113" s="4" t="inlineStr">
        <is>
          <t>Outdoor / gate light</t>
        </is>
      </c>
      <c r="C113" s="4" t="inlineStr">
        <is>
          <t>7'-0"</t>
        </is>
      </c>
      <c r="D113" s="4" t="inlineStr">
        <is>
          <t>Poomukham (verandah)</t>
        </is>
      </c>
      <c r="E113" s="4" t="n">
        <v>66.40000000000001</v>
      </c>
      <c r="F113" s="4" t="n">
        <v>21.8</v>
      </c>
      <c r="G113" s="4" t="inlineStr">
        <is>
          <t>uplight at the pillar base</t>
        </is>
      </c>
    </row>
    <row r="114">
      <c r="A114" s="4" t="inlineStr">
        <is>
          <t>WL</t>
        </is>
      </c>
      <c r="B114" s="4" t="inlineStr">
        <is>
          <t>Wall light / mirror light</t>
        </is>
      </c>
      <c r="C114" s="4" t="inlineStr">
        <is>
          <t>6'-6"</t>
        </is>
      </c>
      <c r="D114" s="4" t="inlineStr">
        <is>
          <t>Poomukham (verandah)</t>
        </is>
      </c>
      <c r="E114" s="4" t="n">
        <v>61.4</v>
      </c>
      <c r="F114" s="4" t="n">
        <v>17.1</v>
      </c>
      <c r="G114" s="4" t="inlineStr">
        <is>
          <t>warm lantern beside the main door</t>
        </is>
      </c>
    </row>
    <row r="115">
      <c r="A115" s="4" t="inlineStr">
        <is>
          <t>EP</t>
        </is>
      </c>
      <c r="B115" s="4" t="inlineStr">
        <is>
          <t>Earth pit</t>
        </is>
      </c>
      <c r="C115" s="4" t="inlineStr">
        <is>
          <t>ground</t>
        </is>
      </c>
      <c r="D115" s="4" t="inlineStr">
        <is>
          <t>Site</t>
        </is>
      </c>
      <c r="E115" s="4" t="n">
        <v>68.2</v>
      </c>
      <c r="F115" s="4" t="n">
        <v>1.5</v>
      </c>
      <c r="G115" s="4" t="inlineStr">
        <is>
          <t>earth pit 1</t>
        </is>
      </c>
    </row>
    <row r="116">
      <c r="A116" s="4" t="inlineStr">
        <is>
          <t>EP</t>
        </is>
      </c>
      <c r="B116" s="4" t="inlineStr">
        <is>
          <t>Earth pit</t>
        </is>
      </c>
      <c r="C116" s="4" t="inlineStr">
        <is>
          <t>ground</t>
        </is>
      </c>
      <c r="D116" s="4" t="inlineStr">
        <is>
          <t>Site</t>
        </is>
      </c>
      <c r="E116" s="4" t="n">
        <v>73.5</v>
      </c>
      <c r="F116" s="4" t="n">
        <v>1.5</v>
      </c>
      <c r="G116" s="4" t="inlineStr">
        <is>
          <t>earth pit 2</t>
        </is>
      </c>
    </row>
    <row r="117">
      <c r="A117" s="4" t="inlineStr">
        <is>
          <t>GL</t>
        </is>
      </c>
      <c r="B117" s="4" t="inlineStr">
        <is>
          <t>Outdoor / gate light</t>
        </is>
      </c>
      <c r="C117" s="4" t="inlineStr">
        <is>
          <t>7'-0"</t>
        </is>
      </c>
      <c r="D117" s="4" t="inlineStr">
        <is>
          <t>Site</t>
        </is>
      </c>
      <c r="E117" s="4" t="n">
        <v>2.5</v>
      </c>
      <c r="F117" s="4" t="n">
        <v>8</v>
      </c>
      <c r="G117"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74</v>
      </c>
      <c r="E30" s="4" t="n">
        <v>21.6</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68.59999999999999</v>
      </c>
      <c r="E38" s="4" t="n">
        <v>1.8</v>
      </c>
      <c r="F38" s="4" t="inlineStr">
        <is>
          <t>IC-12 soil, to the septic tank</t>
        </is>
      </c>
    </row>
    <row r="39">
      <c r="A39" s="4" t="inlineStr">
        <is>
          <t>IC</t>
        </is>
      </c>
      <c r="B39" s="4" t="inlineStr">
        <is>
          <t>Inspection chamber</t>
        </is>
      </c>
      <c r="C39" s="4" t="inlineStr">
        <is>
          <t>Site</t>
        </is>
      </c>
      <c r="D39" s="4" t="n">
        <v>73.2</v>
      </c>
      <c r="E39" s="4" t="n">
        <v>1</v>
      </c>
      <c r="F39" s="4" t="inlineStr">
        <is>
          <t>IC-13 grey, to the soak pit</t>
        </is>
      </c>
    </row>
    <row r="40">
      <c r="A40" s="4" t="inlineStr">
        <is>
          <t>IC</t>
        </is>
      </c>
      <c r="B40" s="4" t="inlineStr">
        <is>
          <t>Inspection chamber</t>
        </is>
      </c>
      <c r="C40" s="4" t="inlineStr">
        <is>
          <t>Site</t>
        </is>
      </c>
      <c r="D40" s="4" t="n">
        <v>4.2</v>
      </c>
      <c r="E40" s="4" t="n">
        <v>1</v>
      </c>
      <c r="F40" s="4" t="inlineStr">
        <is>
          <t>IC-7 grey</t>
        </is>
      </c>
    </row>
    <row r="41">
      <c r="A41" s="4" t="inlineStr">
        <is>
          <t>IC</t>
        </is>
      </c>
      <c r="B41" s="4" t="inlineStr">
        <is>
          <t>Inspection chamber</t>
        </is>
      </c>
      <c r="C41" s="4" t="inlineStr">
        <is>
          <t>Site</t>
        </is>
      </c>
      <c r="D41" s="4" t="n">
        <v>4.2</v>
      </c>
      <c r="E41" s="4" t="n">
        <v>26</v>
      </c>
      <c r="F41" s="4" t="inlineStr">
        <is>
          <t>IC-8 grey</t>
        </is>
      </c>
    </row>
    <row r="42">
      <c r="A42" s="4" t="inlineStr">
        <is>
          <t>IC</t>
        </is>
      </c>
      <c r="B42" s="4" t="inlineStr">
        <is>
          <t>Inspection chamber</t>
        </is>
      </c>
      <c r="C42" s="4" t="inlineStr">
        <is>
          <t>Site</t>
        </is>
      </c>
      <c r="D42" s="4" t="n">
        <v>9.6</v>
      </c>
      <c r="E42" s="4" t="n">
        <v>26</v>
      </c>
      <c r="F42" s="4" t="inlineStr">
        <is>
          <t>IC-9 ensuite grey</t>
        </is>
      </c>
    </row>
    <row r="43">
      <c r="A43" s="4" t="inlineStr">
        <is>
          <t>IC</t>
        </is>
      </c>
      <c r="B43" s="4" t="inlineStr">
        <is>
          <t>Inspection chamber</t>
        </is>
      </c>
      <c r="C43" s="4" t="inlineStr">
        <is>
          <t>Site</t>
        </is>
      </c>
      <c r="D43" s="4" t="n">
        <v>22.5</v>
      </c>
      <c r="E43" s="4" t="n">
        <v>26.6</v>
      </c>
      <c r="F43" s="4" t="inlineStr">
        <is>
          <t>IC-10 Bath 2 soil</t>
        </is>
      </c>
    </row>
    <row r="44">
      <c r="A44" s="4" t="inlineStr">
        <is>
          <t>IC</t>
        </is>
      </c>
      <c r="B44" s="4" t="inlineStr">
        <is>
          <t>Inspection chamber</t>
        </is>
      </c>
      <c r="C44" s="4" t="inlineStr">
        <is>
          <t>Site</t>
        </is>
      </c>
      <c r="D44" s="4" t="n">
        <v>26.4</v>
      </c>
      <c r="E44" s="4" t="n">
        <v>26</v>
      </c>
      <c r="F44"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where the plot allows (here a sealed septic tank and lined soak pit sit in the front yard; a road-drain outflow is better if available).</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No table is drawn for now. If one is added later, the open space under the ventilator takes a 6-seat 5 x 3 ft table with about 2 ft behind the chairs; a 4-seat or round table is easier.</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just outside the kitchen in the dining alcove, beside the kitchen door: reachable from the dining without crossing the cooking area, and well away from the hob.</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overflow to the road drain (no recharge pit near the walls on this narrow plot).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the soak pit or a road drain,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Finishes</t>
        </is>
      </c>
      <c r="C2" s="4" t="inlineStr">
        <is>
          <t>Colour and material scheme to choose: five looks to compare in the 3D model (As drawn, Classic Kerala refined, Chettinad ochre, Modern tropical, Lime and green); decide before ordering floor tiles, paint and door finishes</t>
        </is>
      </c>
      <c r="D2" s="4" t="inlineStr">
        <is>
          <t>Owner</t>
        </is>
      </c>
      <c r="E2" s="8" t="inlineStr">
        <is>
          <t>Open</t>
        </is>
      </c>
    </row>
    <row r="3">
      <c r="A3" s="4" t="n">
        <v>2</v>
      </c>
      <c r="B3" s="4" t="inlineStr">
        <is>
          <t>Land</t>
        </is>
      </c>
      <c r="C3" s="4" t="inlineStr">
        <is>
          <t>Front yard is now 8 ft (house 62 ft long): confirm the front setback allowed for this plot and road width before finalising; fall back to a 60 ft house if 10 ft is required</t>
        </is>
      </c>
      <c r="D3" s="4" t="inlineStr">
        <is>
          <t>Architect</t>
        </is>
      </c>
      <c r="E3" s="8" t="inlineStr">
        <is>
          <t>Open</t>
        </is>
      </c>
    </row>
    <row r="4">
      <c r="A4" s="4" t="n">
        <v>3</v>
      </c>
      <c r="B4" s="4" t="inlineStr">
        <is>
          <t>Layout</t>
        </is>
      </c>
      <c r="C4" s="4" t="inlineStr">
        <is>
          <t>TV on the west wall of the hall (Bedroom 2's east wall), sofa facing west: confirm screen size (55 in at about 7'-6") and a concealed HDMI/data conduit</t>
        </is>
      </c>
      <c r="D4" s="4" t="inlineStr">
        <is>
          <t>Owner</t>
        </is>
      </c>
      <c r="E4" s="8" t="inlineStr">
        <is>
          <t>Open</t>
        </is>
      </c>
    </row>
    <row r="5">
      <c r="A5" s="4" t="n">
        <v>4</v>
      </c>
      <c r="B5" s="4" t="inlineStr">
        <is>
          <t>Land</t>
        </is>
      </c>
      <c r="C5" s="4" t="inlineStr">
        <is>
          <t>Agricultural land: confirm conversion to non-agricultural use with the gram panchayat / collector (AP repealed the NALA Act in 2025; new process to be confirmed)</t>
        </is>
      </c>
      <c r="D5" s="4" t="inlineStr">
        <is>
          <t>Owner / surveyor</t>
        </is>
      </c>
      <c r="E5" s="8" t="inlineStr">
        <is>
          <t>Open</t>
        </is>
      </c>
    </row>
    <row r="6">
      <c r="A6" s="4" t="n">
        <v>5</v>
      </c>
      <c r="B6" s="4" t="inlineStr">
        <is>
          <t>Land</t>
        </is>
      </c>
      <c r="C6" s="4" t="inlineStr">
        <is>
          <t>Building permission route (panchayat vs DTCP / APCRDA via APDPMS) and setbacks under AP Building Rules 2017</t>
        </is>
      </c>
      <c r="D6" s="4" t="inlineStr">
        <is>
          <t>Architect</t>
        </is>
      </c>
      <c r="E6" s="8" t="inlineStr">
        <is>
          <t>Open</t>
        </is>
      </c>
    </row>
    <row r="7">
      <c r="A7" s="4" t="n">
        <v>6</v>
      </c>
      <c r="B7" s="4" t="inlineStr">
        <is>
          <t>Land</t>
        </is>
      </c>
      <c r="C7" s="4" t="inlineStr">
        <is>
          <t>Plot 27 ft x 75 ft (length to confirm by survey), planned without the north strip: north wall 2 ft from the plot line, eaves cut to 2 ft so they stay inside the plot (gutters both sides); septic tank and soak pit in the front yard</t>
        </is>
      </c>
      <c r="D7" s="4" t="inlineStr">
        <is>
          <t>Architect</t>
        </is>
      </c>
      <c r="E7" s="8" t="inlineStr">
        <is>
          <t>Open</t>
        </is>
      </c>
    </row>
    <row r="8">
      <c r="A8" s="4" t="n">
        <v>7</v>
      </c>
      <c r="B8" s="4" t="inlineStr">
        <is>
          <t>Soil</t>
        </is>
      </c>
      <c r="C8" s="4" t="inlineStr">
        <is>
          <t>Soil test (bore holes to 3 m min): black cotton soil is common in Guntur. Foundation type (isolated footings below active zone, under-reamed piles, or soil replacement) depends on it</t>
        </is>
      </c>
      <c r="D8" s="4" t="inlineStr">
        <is>
          <t>Structural engineer</t>
        </is>
      </c>
      <c r="E8" s="8" t="inlineStr">
        <is>
          <t>Open</t>
        </is>
      </c>
    </row>
    <row r="9">
      <c r="A9" s="4" t="n">
        <v>8</v>
      </c>
      <c r="B9" s="4" t="inlineStr">
        <is>
          <t>Structure</t>
        </is>
      </c>
      <c r="C9" s="4" t="inlineStr">
        <is>
          <t>RCC frame with AAC infill: columns, plinth beam, lintel band, ring beam; steel truss with cyclone tie-downs</t>
        </is>
      </c>
      <c r="D9" s="4" t="inlineStr">
        <is>
          <t>Structural engineer</t>
        </is>
      </c>
      <c r="E9" s="8" t="inlineStr">
        <is>
          <t>Open</t>
        </is>
      </c>
    </row>
    <row r="10">
      <c r="A10" s="4" t="n">
        <v>9</v>
      </c>
      <c r="B10" s="4" t="inlineStr">
        <is>
          <t>Security</t>
        </is>
      </c>
      <c r="C10" s="4" t="inlineStr">
        <is>
          <t>Wet area is open to the walkway: lockable steel/WPC kitchen-to-wet-area door, compound wall and gate at the back; optional MS grille shutter across the wet area opening</t>
        </is>
      </c>
      <c r="D10" s="4" t="inlineStr">
        <is>
          <t>Owner / architect</t>
        </is>
      </c>
      <c r="E10" s="8" t="inlineStr">
        <is>
          <t>Open</t>
        </is>
      </c>
    </row>
    <row r="11">
      <c r="A11" s="4" t="n">
        <v>10</v>
      </c>
      <c r="B11" s="4" t="inlineStr">
        <is>
          <t>Services</t>
        </is>
      </c>
      <c r="C11" s="4" t="inlineStr">
        <is>
          <t>Groundwater: test TDS, hardness, fluoride. Plan RO for drinking and a softener for bathrooms if hardness is high</t>
        </is>
      </c>
      <c r="D11" s="4" t="inlineStr">
        <is>
          <t>Plumber / owner</t>
        </is>
      </c>
      <c r="E11" s="8" t="inlineStr">
        <is>
          <t>Open</t>
        </is>
      </c>
    </row>
    <row r="12">
      <c r="A12" s="4" t="n">
        <v>11</v>
      </c>
      <c r="B12" s="4" t="inlineStr">
        <is>
          <t>Services</t>
        </is>
      </c>
      <c r="C12" s="4" t="inlineStr">
        <is>
          <t>Septic tank size and soak pit size (percolation test); keep soak pits and gardens as far from foundations as the plot allows in expansive soil</t>
        </is>
      </c>
      <c r="D12" s="4" t="inlineStr">
        <is>
          <t>Engineer</t>
        </is>
      </c>
      <c r="E12" s="8" t="inlineStr">
        <is>
          <t>Open</t>
        </is>
      </c>
    </row>
    <row r="13">
      <c r="A13" s="4" t="n">
        <v>12</v>
      </c>
      <c r="B13" s="4" t="inlineStr">
        <is>
          <t>Services</t>
        </is>
      </c>
      <c r="C13" s="4" t="inlineStr">
        <is>
          <t>Electrical load (with ACs), service connection size, earthing, inverter / solar PV</t>
        </is>
      </c>
      <c r="D13" s="4" t="inlineStr">
        <is>
          <t>Electrical engineer</t>
        </is>
      </c>
      <c r="E13" s="8" t="inlineStr">
        <is>
          <t>Open</t>
        </is>
      </c>
    </row>
    <row r="14">
      <c r="A14" s="4" t="n">
        <v>13</v>
      </c>
      <c r="B14" s="4" t="inlineStr">
        <is>
          <t>Future land</t>
        </is>
      </c>
      <c r="C14" s="4" t="inlineStr">
        <is>
          <t>If the 10 ft north strip is bought later: move the soak pit there (6 ft+ from the house), and plan any Phase 2 so the north windows keep their light</t>
        </is>
      </c>
      <c r="D14" s="4" t="inlineStr">
        <is>
          <t>Owner / architect</t>
        </is>
      </c>
      <c r="E14" s="8" t="inlineStr">
        <is>
          <t>Deferred by owner</t>
        </is>
      </c>
    </row>
    <row r="15">
      <c r="A15" s="4" t="n">
        <v>14</v>
      </c>
      <c r="B15" s="4" t="inlineStr">
        <is>
          <t>Services</t>
        </is>
      </c>
      <c r="C15" s="4" t="inlineStr">
        <is>
          <t>Soak pit in the front yard is only about 5 ft from the house and 13 ft from the sump in black cotton soil: prefer a sealed septic tank with treated outflow to a road or panchayat drain, or a bio-digester tank; confirm with the engineer and the panchayat</t>
        </is>
      </c>
      <c r="D15" s="4" t="inlineStr">
        <is>
          <t>Engineer / panchayat</t>
        </is>
      </c>
      <c r="E15" s="8" t="inlineStr">
        <is>
          <t>Open</t>
        </is>
      </c>
    </row>
    <row r="16">
      <c r="A16" s="4" t="n">
        <v>15</v>
      </c>
      <c r="B16" s="4" t="inlineStr">
        <is>
          <t>Vastu</t>
        </is>
      </c>
      <c r="C16"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on the east wall north of the main door, DB on the dining face of Bedroom 2's east wall</t>
        </is>
      </c>
      <c r="D16" s="4" t="inlineStr">
        <is>
          <t>Vastu consultant</t>
        </is>
      </c>
      <c r="E16" s="8" t="inlineStr">
        <is>
          <t>To confirm</t>
        </is>
      </c>
    </row>
    <row r="17">
      <c r="A17" s="4" t="n">
        <v>16</v>
      </c>
      <c r="B17" s="4" t="inlineStr">
        <is>
          <t>Climate</t>
        </is>
      </c>
      <c r="C17" s="4" t="inlineStr">
        <is>
          <t>Roof heat: insulation, ventilated attic, ventilator lantern louvres and shutters; ODU positions on shaded walls</t>
        </is>
      </c>
      <c r="D17" s="4" t="inlineStr">
        <is>
          <t>Architect</t>
        </is>
      </c>
      <c r="E17" s="8" t="inlineStr">
        <is>
          <t>Open</t>
        </is>
      </c>
    </row>
    <row r="18">
      <c r="A18" s="4" t="n">
        <v>17</v>
      </c>
      <c r="B18" s="4" t="inlineStr">
        <is>
          <t>Levels</t>
        </is>
      </c>
      <c r="C18" s="4" t="inlineStr">
        <is>
          <t>Survey road and field levels; plinth at 2 ft above finished ground (raise if site floods)</t>
        </is>
      </c>
      <c r="D18" s="4" t="inlineStr">
        <is>
          <t>Surveyor / architect</t>
        </is>
      </c>
      <c r="E18"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54"/>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Thirty-second review: TV back on the west wall of the hall (Bedroom 2's east wall), sofa facing west about 7'-6" away in the dining bay, coffee table between, the window seat shortened to 4 ft as side seating; the dining space under the ventilator is open again.</t>
        </is>
      </c>
    </row>
    <row r="15">
      <c r="A15" s="4" t="n">
        <v>14</v>
      </c>
      <c r="B15" s="4" t="inlineStr">
        <is>
          <t>Thirty-first review (front facade): gate re-centred on the main door with a 6 ft stone forecourt and the tulsi thara on the axis (gate, tulsi, steps, door, hall, lamp niche in one line); charupadi seats with sloping backrests between the verandah pillars, flanking the steps; carved teak barge boards and a brass kalasham finial on the front gable; the kitchen front clad in exposed laterite with a deep projecting teak frame to its window; carved teak main door with brass studs, a stone surround and a nameplate niche; warm uplights at the pillars, a lantern by the door and gate-post lights; low hedges screening the sump and the two-wheeler bay; a pair of potted palms beside the steps.</t>
        </is>
      </c>
    </row>
    <row r="16">
      <c r="A16" s="4" t="n">
        <v>15</v>
      </c>
      <c r="B16" s="4" t="inlineStr">
        <is>
          <t>Thirtieth review (proportion clean-up): windows standardised to three sizes (6 ft rooms, 3 ft small, 2 ft baths) with every head at 7 ft and three sill levels (3 ft rooms, 3'-6" over counters, 5 ft baths); sunshades only on the sunny south, east and west walls (the eaves shade the north); floors cut to three families plus the verandah (red oxide in all public rooms and the pooja, vitrified in bedrooms, anti-skid ceramic in kitchen, baths and wet area, granite on the verandah); services hidden (pipes in chases, outdoor units grouped behind jali on the north wall), switchboards aligned, warm layered lighting, handle-less built-in fronts.</t>
        </is>
      </c>
    </row>
    <row r="17">
      <c r="A17" s="4" t="n">
        <v>16</v>
      </c>
      <c r="B17" s="4" t="inlineStr">
        <is>
          <t>Twenty-ninth review: compound wall made as thin as practical: precast RCC post-and-panel (2 in panels in 4 in posts) set just inside the plot line, so the side strips stay walkable and the north run can be lifted and moved if more land is bought.</t>
        </is>
      </c>
    </row>
    <row r="18">
      <c r="A18" s="4" t="n">
        <v>17</v>
      </c>
      <c r="B18" s="4" t="inlineStr">
        <is>
          <t>Twenty-eighth review: TV lounge reworked: sofa brought forward to about 8 ft from the TV, a 3 ft walk behind it, and a built-in window seat (charupadi-style enclave) under the dining-bay window, so the sofa backs onto a quiet seating nook rather than the entrance and nobody walks in front of the TV.</t>
        </is>
      </c>
    </row>
    <row r="19">
      <c r="A19" s="4" t="n">
        <v>18</v>
      </c>
      <c r="B19" s="4" t="inlineStr">
        <is>
          <t>Twenty-seventh review: TV lounge moves to the open dining space under the ventilator: TV on the north face of the common-bath wall, sofa facing south with its back to the north window, so the main door is in side view, not behind (commanding position) and the TV no longer faces the main door; the dining bay becomes a reading / dining nook with a chair by the window.</t>
        </is>
      </c>
    </row>
    <row r="20">
      <c r="A20" s="4" t="n">
        <v>19</v>
      </c>
      <c r="B20" s="4" t="inlineStr">
        <is>
          <t>Twenty-sixth review: built-in ideas borrowed and adapted (function, not style, in Kerala materials): recessed shower niches, mirror cabinets over basins, genkan-style shoe bench with hooks and a granite threshold band, vilakku madam lamp niche facing the main door, floating bedside shelves (walls too thin for recesses), drawers-first kitchen with a masala pull-out and utensil rail, dish-drying rack over the utility sink, ceiling clothes airer in the wet area.</t>
        </is>
      </c>
    </row>
    <row r="21">
      <c r="A21" s="4" t="n">
        <v>20</v>
      </c>
      <c r="B21" s="4" t="inlineStr">
        <is>
          <t>Twenty-fifth review: main door moved 3'-4" south (y 17'-7" to 20'-7"), centred under the front gable and opening straight onto the 5 ft walk between the pooja and the diwan; shoe cupboard to its north on the east wall; window diwan back to 6 ft along the north window, out of the door's line; steps, middle verandah pillars and the swing realigned.</t>
        </is>
      </c>
    </row>
    <row r="22">
      <c r="A22" s="4" t="n">
        <v>21</v>
      </c>
      <c r="B22" s="4" t="inlineStr">
        <is>
          <t>Twenty-fourth review: planned on the 27 ft plot alone (north strip dropped for now): roof eaves cut from 2'-6" to 2'-0" so the north eave stays inside the plot line, septic tank moved under the two-wheeler bay in the front yard with a lined soak pit beside it, all drains rerouted along the south walkway to the front, rainwater to the sump with overflow to the road; north-strip trees and recharge pit removed.</t>
        </is>
      </c>
    </row>
    <row r="23">
      <c r="A23" s="4" t="n">
        <v>22</v>
      </c>
      <c r="B23" s="4" t="inlineStr">
        <is>
          <t>Twenty-third review: the fridge moves out of the kitchen into the dining alcove beside the kitchen door, against the wet-area wall; the kitchen's north wall is now free.</t>
        </is>
      </c>
    </row>
    <row r="24">
      <c r="A24" s="4" t="n">
        <v>23</v>
      </c>
      <c r="B24" s="4" t="inlineStr">
        <is>
          <t>Twenty-second review: the kitchen's tall pantry and the dining table and chairs are removed at the owner's request; the dining space under the ventilator stays open (the pendant light and points stay for a table later).</t>
        </is>
      </c>
    </row>
    <row r="25">
      <c r="A25" s="4" t="n">
        <v>24</v>
      </c>
      <c r="B25" s="4" t="inlineStr">
        <is>
          <t>Twenty-first review: the open hall becomes three zones: family TV lounge in the dining bay (5'-6" sofa facing the TV), dining under the ventilator moved 9 in south (about 2 ft behind the chairs on both sides), and guest sitting by the main door with a 4'-6" window diwan (shortened after the walk-through showed a 1'-6" pinch at the shoe cupboard) and an armchair under the living's north window; a clear walk of about 4'-11" from the main door to the dining and kitchen, pooja front kept clear.</t>
        </is>
      </c>
    </row>
    <row r="26">
      <c r="A26" s="4" t="n">
        <v>25</v>
      </c>
      <c r="B26" s="4" t="inlineStr">
        <is>
          <t>Twentieth review: Bedroom 2's bed moves to the east wall, head east, leaving an 8 x 14 ft open floor from the door to the bath and window; wardrobe to the west wall (sound buffer to the master), work table north of the bed, AC on the bath's outer wall; dresser dropped (mirror on the wardrobe).</t>
        </is>
      </c>
    </row>
    <row r="27">
      <c r="A27" s="4" t="n">
        <v>26</v>
      </c>
      <c r="B27"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28">
      <c r="A28" s="4" t="n">
        <v>27</v>
      </c>
      <c r="B28" s="4" t="inlineStr">
        <is>
          <t>Eighteenth review: house lengthened 2 ft to 62 ft, all of it added to Bedroom 2 (now 17 ft wide; the sitting area below it also gains 2 ft); front yard 10 ft to 8 ft (check the front setback). Bedroom 2 window back to 6 ft.</t>
        </is>
      </c>
    </row>
    <row r="29">
      <c r="A29" s="4" t="n">
        <v>28</v>
      </c>
      <c r="B29" s="4" t="inlineStr">
        <is>
          <t>Seventeenth review: sitting area gets a 5 ft tall storage cupboard on the south wall between the bench and the window; the hand-wash basin moves to the east end of the serving counter, just outside the common bath, for washing up after meals.</t>
        </is>
      </c>
    </row>
    <row r="30">
      <c r="A30" s="4" t="n">
        <v>29</v>
      </c>
      <c r="B30"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31">
      <c r="A31" s="4" t="n">
        <v>30</v>
      </c>
      <c r="B31"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32">
      <c r="A32" s="4" t="n">
        <v>31</v>
      </c>
      <c r="B32"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33">
      <c r="A33" s="4" t="n">
        <v>32</v>
      </c>
      <c r="B33" s="4" t="inlineStr">
        <is>
          <t>Common bath widened to 6'-6" x 6' (about 6'-0" x 5'-5" clear: 3 x 3 ft shower, WC and basin on the wet wall) by taking 1'-6" from the east end of the sitting area; serving counter now 6 ft.</t>
        </is>
      </c>
    </row>
    <row r="34">
      <c r="A34" s="4" t="n">
        <v>33</v>
      </c>
      <c r="B34"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35">
      <c r="A35" s="4" t="n">
        <v>34</v>
      </c>
      <c r="B35"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36">
      <c r="A36" s="4" t="n">
        <v>35</v>
      </c>
      <c r="B36"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37">
      <c r="A37" s="4" t="n">
        <v>36</v>
      </c>
      <c r="B37"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38">
      <c r="A38" s="4" t="n">
        <v>37</v>
      </c>
      <c r="B38"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39">
      <c r="A39" s="4" t="n">
        <v>38</v>
      </c>
      <c r="B39" s="4" t="inlineStr">
        <is>
          <t>Seventh review: Bedroom 2 enlarged to 12 x 16 ft by taking the hall strip; its door opens from the sitting area (as the master suite does); hand-wash basin back at the west end of the serving counter.</t>
        </is>
      </c>
    </row>
    <row r="40">
      <c r="A40" s="4" t="n">
        <v>39</v>
      </c>
      <c r="B40" s="4" t="inlineStr">
        <is>
          <t>Sixth review: Office 2 walls and sliding door left out for now (open workstation in the master suite, walls can be added later); Bedroom 2 becomes a study-guest room: work table with monitor beside the bath, sofa-cum-bed instead of a queen bed.</t>
        </is>
      </c>
    </row>
    <row r="41">
      <c r="A41" s="4" t="n">
        <v>40</v>
      </c>
      <c r="B41" s="4" t="inlineStr">
        <is>
          <t>Office 1 removed after family review: one office (Office 2) inside the master suite; Bedroom 2 has its own work desk.</t>
        </is>
      </c>
    </row>
    <row r="42">
      <c r="A42" s="4" t="n">
        <v>41</v>
      </c>
      <c r="B42" s="4" t="inlineStr">
        <is>
          <t>Common bathroom moved to the north side (old pooja spot), entered from the dining corner next to the hall.</t>
        </is>
      </c>
    </row>
    <row r="43">
      <c r="A43" s="4" t="n">
        <v>42</v>
      </c>
      <c r="B43"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44">
      <c r="A44" s="4" t="n">
        <v>43</v>
      </c>
      <c r="B44" s="4" t="inlineStr">
        <is>
          <t>Pooja moved beside the wet area and opened to the west (idols face west, the family sits in the nook facing east); shared wall kept dry with no pipes, pooja floor 3 in higher; basin nook shifted west.</t>
        </is>
      </c>
    </row>
    <row r="45">
      <c r="A45" s="4" t="n">
        <v>44</v>
      </c>
      <c r="B45"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46">
      <c r="A46" s="4" t="n">
        <v>45</v>
      </c>
      <c r="B46"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47">
      <c r="A47" s="4" t="n">
        <v>46</v>
      </c>
      <c r="B47" s="4" t="inlineStr">
        <is>
          <t>Earlier: walk-in wardrobe turned into a family store with a lockable door from the sitting area (inverter inside); built-in sliding wardrobes in the dressing alcove and on the master bedroom's south wall.</t>
        </is>
      </c>
    </row>
    <row r="48">
      <c r="A48" s="4" t="n">
        <v>47</v>
      </c>
      <c r="B48" s="4" t="inlineStr">
        <is>
          <t>Store wall removed: the strip from the walk-in to the pooja is one open sitting and serving area with a storage bench; hand-wash basin set into the west end of the serving counter, about 8 ft from the pooja, draining straight out to the south walkway.</t>
        </is>
      </c>
    </row>
    <row r="49">
      <c r="A49" s="4" t="n">
        <v>48</v>
      </c>
      <c r="B49" s="4" t="inlineStr">
        <is>
          <t>Wet area reduced to 6 x 6 ft and left open on its south side to the walkway (service route from the kitchen to the back of the house); kitchen door moved to face the dining (3 ft sliding glass); basin nook widened to 8 ft with a 6 ft serving counter.</t>
        </is>
      </c>
    </row>
    <row r="50">
      <c r="A50" s="4" t="n">
        <v>49</v>
      </c>
      <c r="B50" s="4" t="inlineStr">
        <is>
          <t>Main door moved to the south part of the living's east wall (still north of the house's centre line); TV on the north part of that wall; steps, swing and arugu seats rearranged on the poomukham.</t>
        </is>
      </c>
    </row>
    <row r="51">
      <c r="A51" s="4" t="n">
        <v>50</v>
      </c>
      <c r="B51"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52">
      <c r="A52" s="4" t="n">
        <v>51</v>
      </c>
      <c r="B52" s="4" t="inlineStr">
        <is>
          <t>Earlier: hall widened to 4 ft clear (Bedroom 2 gives up 6 in); vents above the office, walk-in, store, pooja and kitchen doors; none at bedrooms or bathrooms (sound privacy).</t>
        </is>
      </c>
    </row>
    <row r="53">
      <c r="A53" s="4" t="n">
        <v>52</v>
      </c>
      <c r="B53" s="4" t="inlineStr">
        <is>
          <t>Ensuite widened by 1'-6" into the master (about 6'-0" x 7'-4" clear); dressing widened by the same strip; master now 9'-6" x 14'-0".</t>
        </is>
      </c>
    </row>
    <row r="54">
      <c r="A54" s="4" t="n">
        <v>53</v>
      </c>
      <c r="B54"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2026-11-01T08:24:21Z</dcterms:created>
  <dcterms:modified xsi:type="dcterms:W3CDTF">2026-11-01T08:24:22Z</dcterms:modified>
</cp:coreProperties>
</file>