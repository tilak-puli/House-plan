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(duplex option). Revision C-duplex (option study), 1 Nov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Master bedroom</t>
        </is>
      </c>
      <c r="C2" s="4" t="inlineStr">
        <is>
          <t>Master suite</t>
        </is>
      </c>
      <c r="D2" s="4" t="n">
        <v>14</v>
      </c>
      <c r="E2" s="4" t="n">
        <v>12.5</v>
      </c>
      <c r="F2" s="5">
        <f>D2*E2</f>
        <v/>
      </c>
      <c r="G2" s="5">
        <f>F2*0.092903</f>
        <v/>
      </c>
      <c r="H2" s="5" t="n">
        <v>13.34</v>
      </c>
      <c r="I2" s="5" t="n">
        <v>11.91</v>
      </c>
      <c r="J2" s="5">
        <f>H2*I2</f>
        <v/>
      </c>
      <c r="K2" s="4" t="inlineStr">
        <is>
          <t>+2'-0"</t>
        </is>
      </c>
      <c r="L2" s="4" t="inlineStr">
        <is>
          <t>Flat 9'-5"</t>
        </is>
      </c>
      <c r="M2" s="4" t="inlineStr"/>
    </row>
    <row r="3">
      <c r="A3" s="4" t="inlineStr">
        <is>
          <t>R02</t>
        </is>
      </c>
      <c r="B3" s="4" t="inlineStr">
        <is>
          <t>Master bath</t>
        </is>
      </c>
      <c r="C3" s="4" t="inlineStr">
        <is>
          <t>Master suite</t>
        </is>
      </c>
      <c r="D3" s="4" t="n">
        <v>6.5</v>
      </c>
      <c r="E3" s="4" t="n">
        <v>7</v>
      </c>
      <c r="F3" s="5">
        <f>D3*E3</f>
        <v/>
      </c>
      <c r="G3" s="5">
        <f>F3*0.092903</f>
        <v/>
      </c>
      <c r="H3" s="5" t="n">
        <v>5.92</v>
      </c>
      <c r="I3" s="5" t="n">
        <v>6.33</v>
      </c>
      <c r="J3" s="5">
        <f>H3*I3</f>
        <v/>
      </c>
      <c r="K3" s="4" t="inlineStr">
        <is>
          <t>+1'-11.5"</t>
        </is>
      </c>
      <c r="L3" s="4" t="inlineStr">
        <is>
          <t>Flat 8'-6"</t>
        </is>
      </c>
      <c r="M3" s="4" t="inlineStr"/>
    </row>
    <row r="4">
      <c r="A4" s="4" t="inlineStr">
        <is>
          <t>R03</t>
        </is>
      </c>
      <c r="B4" s="4" t="inlineStr">
        <is>
          <t>Common bath</t>
        </is>
      </c>
      <c r="C4" s="4" t="inlineStr">
        <is>
          <t>Service</t>
        </is>
      </c>
      <c r="D4" s="4" t="n">
        <v>6.5</v>
      </c>
      <c r="E4" s="4" t="n">
        <v>7</v>
      </c>
      <c r="F4" s="5">
        <f>D4*E4</f>
        <v/>
      </c>
      <c r="G4" s="5">
        <f>F4*0.092903</f>
        <v/>
      </c>
      <c r="H4" s="5" t="n">
        <v>5.92</v>
      </c>
      <c r="I4" s="5" t="n">
        <v>6.33</v>
      </c>
      <c r="J4" s="5">
        <f>H4*I4</f>
        <v/>
      </c>
      <c r="K4" s="4" t="inlineStr">
        <is>
          <t>+1'-11.5"</t>
        </is>
      </c>
      <c r="L4" s="4" t="inlineStr">
        <is>
          <t>Flat 8'-6"</t>
        </is>
      </c>
      <c r="M4" s="4" t="inlineStr"/>
    </row>
    <row r="5">
      <c r="A5" s="4" t="inlineStr">
        <is>
          <t>R04</t>
        </is>
      </c>
      <c r="B5" s="4" t="inlineStr">
        <is>
          <t>Small bedroom</t>
        </is>
      </c>
      <c r="C5" s="4" t="inlineStr">
        <is>
          <t>Private</t>
        </is>
      </c>
      <c r="D5" s="4" t="n">
        <v>14</v>
      </c>
      <c r="E5" s="4" t="n">
        <v>9.5</v>
      </c>
      <c r="F5" s="5">
        <f>D5*E5</f>
        <v/>
      </c>
      <c r="G5" s="5">
        <f>F5*0.092903</f>
        <v/>
      </c>
      <c r="H5" s="5" t="n">
        <v>13.41</v>
      </c>
      <c r="I5" s="5" t="n">
        <v>8.91</v>
      </c>
      <c r="J5" s="5">
        <f>H5*I5</f>
        <v/>
      </c>
      <c r="K5" s="4" t="inlineStr">
        <is>
          <t>+2'-0"</t>
        </is>
      </c>
      <c r="L5" s="4" t="inlineStr">
        <is>
          <t>Flat 9'-5"</t>
        </is>
      </c>
      <c r="M5" s="4" t="inlineStr"/>
    </row>
    <row r="6">
      <c r="A6" s="4" t="inlineStr">
        <is>
          <t>R05</t>
        </is>
      </c>
      <c r="B6" s="4" t="inlineStr">
        <is>
          <t>Lobby</t>
        </is>
      </c>
      <c r="C6" s="4" t="inlineStr">
        <is>
          <t>Circulation</t>
        </is>
      </c>
      <c r="D6" s="4" t="n">
        <v>13</v>
      </c>
      <c r="E6" s="4" t="n">
        <v>3.5</v>
      </c>
      <c r="F6" s="5">
        <f>D6*E6</f>
        <v/>
      </c>
      <c r="G6" s="5">
        <f>F6*0.092903</f>
        <v/>
      </c>
      <c r="H6" s="5" t="n">
        <v>12.79</v>
      </c>
      <c r="I6" s="5" t="n">
        <v>3.21</v>
      </c>
      <c r="J6" s="5">
        <f>H6*I6</f>
        <v/>
      </c>
      <c r="K6" s="4" t="inlineStr">
        <is>
          <t>+2'-0"</t>
        </is>
      </c>
      <c r="L6" s="4" t="inlineStr">
        <is>
          <t>Flat 9'-5"</t>
        </is>
      </c>
      <c r="M6" s="4" t="inlineStr"/>
    </row>
    <row r="7">
      <c r="A7" s="4" t="inlineStr">
        <is>
          <t>R06</t>
        </is>
      </c>
      <c r="B7" s="4" t="inlineStr">
        <is>
          <t>Stair and passage</t>
        </is>
      </c>
      <c r="C7" s="4" t="inlineStr">
        <is>
          <t>Circulation</t>
        </is>
      </c>
      <c r="D7" s="4" t="n">
        <v>13</v>
      </c>
      <c r="E7" s="4" t="n">
        <v>11.5</v>
      </c>
      <c r="F7" s="5">
        <f>D7*E7</f>
        <v/>
      </c>
      <c r="G7" s="5">
        <f>F7*0.092903</f>
        <v/>
      </c>
      <c r="H7" s="5" t="n">
        <v>12.58</v>
      </c>
      <c r="I7" s="5" t="n">
        <v>11.12</v>
      </c>
      <c r="J7" s="5">
        <f>H7*I7</f>
        <v/>
      </c>
      <c r="K7" s="4" t="inlineStr">
        <is>
          <t>+2'-0"</t>
        </is>
      </c>
      <c r="L7" s="4" t="inlineStr">
        <is>
          <t>Sloped (open to the roof (stair))</t>
        </is>
      </c>
      <c r="M7" s="4" t="inlineStr">
        <is>
          <t>Dog-leg stair, jali to the living</t>
        </is>
      </c>
    </row>
    <row r="8">
      <c r="A8" s="4" t="inlineStr">
        <is>
          <t>R12</t>
        </is>
      </c>
      <c r="B8" s="4" t="inlineStr">
        <is>
          <t>Store</t>
        </is>
      </c>
      <c r="C8" s="4" t="inlineStr">
        <is>
          <t>Service</t>
        </is>
      </c>
      <c r="D8" s="4" t="n">
        <v>4</v>
      </c>
      <c r="E8" s="4" t="n">
        <v>4.5</v>
      </c>
      <c r="F8" s="5">
        <f>D8*E8</f>
        <v/>
      </c>
      <c r="G8" s="5">
        <f>F8*0.092903</f>
        <v/>
      </c>
      <c r="H8" s="5" t="n">
        <v>3.42</v>
      </c>
      <c r="I8" s="5" t="n">
        <v>3.92</v>
      </c>
      <c r="J8" s="5">
        <f>H8*I8</f>
        <v/>
      </c>
      <c r="K8" s="4" t="inlineStr">
        <is>
          <t>+2'-0"</t>
        </is>
      </c>
      <c r="L8" s="4" t="inlineStr">
        <is>
          <t>Flat 9'-5"</t>
        </is>
      </c>
      <c r="M8" s="4" t="inlineStr"/>
    </row>
    <row r="9">
      <c r="A9" s="4" t="inlineStr">
        <is>
          <t>R13</t>
        </is>
      </c>
      <c r="B9" s="4" t="inlineStr">
        <is>
          <t>Wet area</t>
        </is>
      </c>
      <c r="C9" s="4" t="inlineStr">
        <is>
          <t>Service</t>
        </is>
      </c>
      <c r="D9" s="4" t="n">
        <v>7</v>
      </c>
      <c r="E9" s="4" t="n">
        <v>4.5</v>
      </c>
      <c r="F9" s="5">
        <f>D9*E9</f>
        <v/>
      </c>
      <c r="G9" s="5">
        <f>F9*0.092903</f>
        <v/>
      </c>
      <c r="H9" s="5" t="n">
        <v>6.5</v>
      </c>
      <c r="I9" s="5" t="n">
        <v>3.92</v>
      </c>
      <c r="J9" s="5">
        <f>H9*I9</f>
        <v/>
      </c>
      <c r="K9" s="4" t="inlineStr">
        <is>
          <t>+1'-9"</t>
        </is>
      </c>
      <c r="L9" s="4" t="inlineStr">
        <is>
          <t>Flat 9'-5"</t>
        </is>
      </c>
      <c r="M9" s="4" t="inlineStr"/>
    </row>
    <row r="10">
      <c r="A10" s="4" t="inlineStr">
        <is>
          <t>R10</t>
        </is>
      </c>
      <c r="B10" s="4" t="inlineStr">
        <is>
          <t>Dining</t>
        </is>
      </c>
      <c r="C10" s="4" t="inlineStr">
        <is>
          <t>Living</t>
        </is>
      </c>
      <c r="D10" s="4" t="n">
        <v>11</v>
      </c>
      <c r="E10" s="4" t="n">
        <v>5</v>
      </c>
      <c r="F10" s="5">
        <f>D10*E10</f>
        <v/>
      </c>
      <c r="G10" s="5">
        <f>F10*0.092903</f>
        <v/>
      </c>
      <c r="H10" s="5" t="n">
        <v>10.5</v>
      </c>
      <c r="I10" s="5" t="n">
        <v>4.79</v>
      </c>
      <c r="J10" s="5">
        <f>H10*I10</f>
        <v/>
      </c>
      <c r="K10" s="4" t="inlineStr">
        <is>
          <t>+2'-0"</t>
        </is>
      </c>
      <c r="L10" s="4" t="inlineStr">
        <is>
          <t>Flat 9'-5"</t>
        </is>
      </c>
      <c r="M10" s="4" t="inlineStr">
        <is>
          <t>Open to the living</t>
        </is>
      </c>
    </row>
    <row r="11">
      <c r="A11" s="4" t="inlineStr">
        <is>
          <t>R15</t>
        </is>
      </c>
      <c r="B11" s="4" t="inlineStr">
        <is>
          <t>Kitchen</t>
        </is>
      </c>
      <c r="C11" s="4" t="inlineStr">
        <is>
          <t>Service</t>
        </is>
      </c>
      <c r="D11" s="4" t="n">
        <v>12</v>
      </c>
      <c r="E11" s="4" t="n">
        <v>9.5</v>
      </c>
      <c r="F11" s="5">
        <f>D11*E11</f>
        <v/>
      </c>
      <c r="G11" s="5">
        <f>F11*0.092903</f>
        <v/>
      </c>
      <c r="H11" s="5" t="n">
        <v>11.41</v>
      </c>
      <c r="I11" s="5" t="n">
        <v>8.75</v>
      </c>
      <c r="J11" s="5">
        <f>H11*I11</f>
        <v/>
      </c>
      <c r="K11" s="4" t="inlineStr">
        <is>
          <t>+2'-0"</t>
        </is>
      </c>
      <c r="L11" s="4" t="inlineStr">
        <is>
          <t>Flat 9'-5"</t>
        </is>
      </c>
      <c r="M11" s="4" t="inlineStr"/>
    </row>
    <row r="12">
      <c r="A12" s="4" t="inlineStr">
        <is>
          <t>R16</t>
        </is>
      </c>
      <c r="B12" s="4" t="inlineStr">
        <is>
          <t>Living</t>
        </is>
      </c>
      <c r="C12" s="4" t="inlineStr">
        <is>
          <t>Living</t>
        </is>
      </c>
      <c r="D12" s="4" t="n">
        <v>17</v>
      </c>
      <c r="E12" s="4" t="n">
        <v>12.5</v>
      </c>
      <c r="F12" s="5">
        <f>D12*E12</f>
        <v/>
      </c>
      <c r="G12" s="5">
        <f>F12*0.092903</f>
        <v/>
      </c>
      <c r="H12" s="5" t="n">
        <v>16.41</v>
      </c>
      <c r="I12" s="5" t="n">
        <v>11.75</v>
      </c>
      <c r="J12" s="5">
        <f>H12*I12</f>
        <v/>
      </c>
      <c r="K12" s="4" t="inlineStr">
        <is>
          <t>+2'-0"</t>
        </is>
      </c>
      <c r="L12" s="4" t="inlineStr">
        <is>
          <t>Flat 9'-5"</t>
        </is>
      </c>
      <c r="M12" s="4" t="inlineStr">
        <is>
          <t>Slab above is the covered terrace</t>
        </is>
      </c>
    </row>
    <row r="13">
      <c r="A13" s="4" t="inlineStr">
        <is>
          <t>R11</t>
        </is>
      </c>
      <c r="B13" s="4" t="inlineStr">
        <is>
          <t>Pooja</t>
        </is>
      </c>
      <c r="C13" s="4" t="inlineStr">
        <is>
          <t>Living</t>
        </is>
      </c>
      <c r="D13" s="4" t="n">
        <v>4</v>
      </c>
      <c r="E13" s="4" t="n">
        <v>4</v>
      </c>
      <c r="F13" s="5">
        <f>D13*E13</f>
        <v/>
      </c>
      <c r="G13" s="5">
        <f>F13*0.092903</f>
        <v/>
      </c>
      <c r="H13" s="5" t="n">
        <v>3.42</v>
      </c>
      <c r="I13" s="5" t="n">
        <v>3.42</v>
      </c>
      <c r="J13" s="5">
        <f>H13*I13</f>
        <v/>
      </c>
      <c r="K13" s="4" t="inlineStr">
        <is>
          <t>+2'-3"</t>
        </is>
      </c>
      <c r="L13" s="4" t="inlineStr">
        <is>
          <t>Flat 9'-0"</t>
        </is>
      </c>
      <c r="M13" s="4" t="inlineStr"/>
    </row>
    <row r="14">
      <c r="A14" s="4" t="inlineStr">
        <is>
          <t>R17</t>
        </is>
      </c>
      <c r="B14" s="4" t="inlineStr">
        <is>
          <t>Poomukham (verandah)</t>
        </is>
      </c>
      <c r="C14" s="4" t="inlineStr">
        <is>
          <t>Entry</t>
        </is>
      </c>
      <c r="D14" s="4" t="n">
        <v>6</v>
      </c>
      <c r="E14" s="4" t="n">
        <v>12.5</v>
      </c>
      <c r="F14" s="5">
        <f>D14*E14</f>
        <v/>
      </c>
      <c r="G14" s="5">
        <f>F14*0.092903</f>
        <v/>
      </c>
      <c r="H14" s="5" t="n">
        <v>5.62</v>
      </c>
      <c r="I14" s="5" t="n">
        <v>12.12</v>
      </c>
      <c r="J14" s="5">
        <f>H14*I14</f>
        <v/>
      </c>
      <c r="K14" s="4" t="inlineStr">
        <is>
          <t>+1'-6"</t>
        </is>
      </c>
      <c r="L14" s="4" t="inlineStr">
        <is>
          <t>Sloped (exposed rafters)</t>
        </is>
      </c>
      <c r="M14" s="4" t="inlineStr">
        <is>
          <t>Open verandah</t>
        </is>
      </c>
    </row>
    <row r="15">
      <c r="A15" s="4" t="inlineStr">
        <is>
          <t>R31</t>
        </is>
      </c>
      <c r="B15" s="4" t="inlineStr">
        <is>
          <t>Upper master bedroom (1st floor)</t>
        </is>
      </c>
      <c r="C15" s="4" t="inlineStr">
        <is>
          <t>Upper suite</t>
        </is>
      </c>
      <c r="D15" s="4" t="n">
        <v>14</v>
      </c>
      <c r="E15" s="4" t="n">
        <v>12.5</v>
      </c>
      <c r="F15" s="5">
        <f>D15*E15</f>
        <v/>
      </c>
      <c r="G15" s="5">
        <f>F15*0.092903</f>
        <v/>
      </c>
      <c r="H15" s="5" t="n">
        <v>13.41</v>
      </c>
      <c r="I15" s="5" t="n">
        <v>12.12</v>
      </c>
      <c r="J15" s="5">
        <f>H15*I15</f>
        <v/>
      </c>
      <c r="K15" s="4" t="inlineStr">
        <is>
          <t>+12'-0"</t>
        </is>
      </c>
      <c r="L15" s="4" t="inlineStr">
        <is>
          <t>Flat 9'-6"</t>
        </is>
      </c>
      <c r="M15" s="4" t="inlineStr"/>
    </row>
    <row r="16">
      <c r="A16" s="4" t="inlineStr">
        <is>
          <t>R32</t>
        </is>
      </c>
      <c r="B16" s="4" t="inlineStr">
        <is>
          <t>Dressing (1st floor)</t>
        </is>
      </c>
      <c r="C16" s="4" t="inlineStr">
        <is>
          <t>Upper suite</t>
        </is>
      </c>
      <c r="D16" s="4" t="n">
        <v>6.5</v>
      </c>
      <c r="E16" s="4" t="n">
        <v>7</v>
      </c>
      <c r="F16" s="5">
        <f>D16*E16</f>
        <v/>
      </c>
      <c r="G16" s="5">
        <f>F16*0.092903</f>
        <v/>
      </c>
      <c r="H16" s="5" t="n">
        <v>6</v>
      </c>
      <c r="I16" s="5" t="n">
        <v>6.42</v>
      </c>
      <c r="J16" s="5">
        <f>H16*I16</f>
        <v/>
      </c>
      <c r="K16" s="4" t="inlineStr">
        <is>
          <t>+12'-0"</t>
        </is>
      </c>
      <c r="L16" s="4" t="inlineStr">
        <is>
          <t>Flat 9'-6"</t>
        </is>
      </c>
      <c r="M16" s="4" t="inlineStr"/>
    </row>
    <row r="17">
      <c r="A17" s="4" t="inlineStr">
        <is>
          <t>R33</t>
        </is>
      </c>
      <c r="B17" s="4" t="inlineStr">
        <is>
          <t>Upper master bath (1st floor)</t>
        </is>
      </c>
      <c r="C17" s="4" t="inlineStr">
        <is>
          <t>Upper suite</t>
        </is>
      </c>
      <c r="D17" s="4" t="n">
        <v>6.5</v>
      </c>
      <c r="E17" s="4" t="n">
        <v>7</v>
      </c>
      <c r="F17" s="5">
        <f>D17*E17</f>
        <v/>
      </c>
      <c r="G17" s="5">
        <f>F17*0.092903</f>
        <v/>
      </c>
      <c r="H17" s="5" t="n">
        <v>5.83</v>
      </c>
      <c r="I17" s="5" t="n">
        <v>6.42</v>
      </c>
      <c r="J17" s="5">
        <f>H17*I17</f>
        <v/>
      </c>
      <c r="K17" s="4" t="inlineStr">
        <is>
          <t>+11'-11.5"</t>
        </is>
      </c>
      <c r="L17" s="4" t="inlineStr">
        <is>
          <t>Flat 8'-6"</t>
        </is>
      </c>
      <c r="M17" s="4" t="inlineStr">
        <is>
          <t>Over the common bath</t>
        </is>
      </c>
    </row>
    <row r="18">
      <c r="A18" s="4" t="inlineStr">
        <is>
          <t>R34</t>
        </is>
      </c>
      <c r="B18" s="4" t="inlineStr">
        <is>
          <t>Landing (1st floor)</t>
        </is>
      </c>
      <c r="C18" s="4" t="inlineStr">
        <is>
          <t>Circulation</t>
        </is>
      </c>
      <c r="D18" s="4" t="n">
        <v>13</v>
      </c>
      <c r="E18" s="4" t="n">
        <v>4</v>
      </c>
      <c r="F18" s="5">
        <f>D18*E18</f>
        <v/>
      </c>
      <c r="G18" s="5">
        <f>F18*0.092903</f>
        <v/>
      </c>
      <c r="H18" s="5" t="n">
        <v>12.41</v>
      </c>
      <c r="I18" s="5" t="n">
        <v>3.79</v>
      </c>
      <c r="J18" s="5">
        <f>H18*I18</f>
        <v/>
      </c>
      <c r="K18" s="4" t="inlineStr">
        <is>
          <t>+12'-0"</t>
        </is>
      </c>
      <c r="L18" s="4" t="inlineStr">
        <is>
          <t>Sloped (follows roof)</t>
        </is>
      </c>
      <c r="M18" s="4" t="inlineStr"/>
    </row>
    <row r="19">
      <c r="A19" s="4" t="inlineStr">
        <is>
          <t>R35</t>
        </is>
      </c>
      <c r="B19" s="4" t="inlineStr">
        <is>
          <t>Upper passage (1st floor)</t>
        </is>
      </c>
      <c r="C19" s="4" t="inlineStr">
        <is>
          <t>Circulation</t>
        </is>
      </c>
      <c r="D19" s="4" t="n">
        <v>5.5</v>
      </c>
      <c r="E19" s="4" t="n">
        <v>11</v>
      </c>
      <c r="F19" s="5">
        <f>D19*E19</f>
        <v/>
      </c>
      <c r="G19" s="5">
        <f>F19*0.092903</f>
        <v/>
      </c>
      <c r="H19" s="5" t="n">
        <v>5.29</v>
      </c>
      <c r="I19" s="5" t="n">
        <v>10.62</v>
      </c>
      <c r="J19" s="5">
        <f>H19*I19</f>
        <v/>
      </c>
      <c r="K19" s="4" t="inlineStr">
        <is>
          <t>+12'-0"</t>
        </is>
      </c>
      <c r="L19" s="4" t="inlineStr">
        <is>
          <t>Sloped (follows roof)</t>
        </is>
      </c>
      <c r="M19" s="4" t="inlineStr"/>
    </row>
    <row r="20">
      <c r="A20" s="4" t="inlineStr">
        <is>
          <t>R36</t>
        </is>
      </c>
      <c r="B20" s="4" t="inlineStr">
        <is>
          <t>Sitting and study (upper master) (1st floor)</t>
        </is>
      </c>
      <c r="C20" s="4" t="inlineStr">
        <is>
          <t>Upper suite</t>
        </is>
      </c>
      <c r="D20" s="4" t="n">
        <v>14</v>
      </c>
      <c r="E20" s="4" t="n">
        <v>9.5</v>
      </c>
      <c r="F20" s="5">
        <f>D20*E20</f>
        <v/>
      </c>
      <c r="G20" s="5">
        <f>F20*0.092903</f>
        <v/>
      </c>
      <c r="H20" s="5" t="n">
        <v>13.41</v>
      </c>
      <c r="I20" s="5" t="n">
        <v>9.119999999999999</v>
      </c>
      <c r="J20" s="5">
        <f>H20*I20</f>
        <v/>
      </c>
      <c r="K20" s="4" t="inlineStr">
        <is>
          <t>+12'-0"</t>
        </is>
      </c>
      <c r="L20" s="4" t="inlineStr">
        <is>
          <t>Flat 9'-6"</t>
        </is>
      </c>
      <c r="M20" s="4" t="inlineStr">
        <is>
          <t>Part of the upper master suite, divided by the wardrobe</t>
        </is>
      </c>
    </row>
    <row r="21">
      <c r="A21" s="4" t="inlineStr">
        <is>
          <t>R37</t>
        </is>
      </c>
      <c r="B21" s="4" t="inlineStr">
        <is>
          <t>Covered terrace (1st floor)</t>
        </is>
      </c>
      <c r="C21" s="4" t="inlineStr">
        <is>
          <t>Terrace</t>
        </is>
      </c>
      <c r="D21" s="4" t="n">
        <v>17</v>
      </c>
      <c r="E21" s="4" t="n">
        <v>22</v>
      </c>
      <c r="F21" s="5">
        <f>D21*E21</f>
        <v/>
      </c>
      <c r="G21" s="5">
        <f>F21*0.092903</f>
        <v/>
      </c>
      <c r="H21" s="5" t="n">
        <v>16.62</v>
      </c>
      <c r="I21" s="5" t="n">
        <v>22</v>
      </c>
      <c r="J21" s="5">
        <f>H21*I21</f>
        <v/>
      </c>
      <c r="K21" s="4" t="inlineStr">
        <is>
          <t>+11'-9"</t>
        </is>
      </c>
      <c r="L21" s="4" t="inlineStr">
        <is>
          <t>Sloped (steel trusses, tiled roof above)</t>
        </is>
      </c>
      <c r="M21" s="4" t="inlineStr">
        <is>
          <t>Under the main roof on steel posts, railings on three sides</t>
        </is>
      </c>
    </row>
    <row r="22">
      <c r="A22" s="6" t="inlineStr"/>
      <c r="B22" s="6" t="inlineStr">
        <is>
          <t>Total</t>
        </is>
      </c>
      <c r="C22" s="6" t="inlineStr"/>
      <c r="D22" s="6" t="inlineStr"/>
      <c r="E22" s="6" t="inlineStr"/>
      <c r="F22" s="7">
        <f>SUM(F2:F21)</f>
        <v/>
      </c>
      <c r="G22" s="7">
        <f>SUM(G2:G21)</f>
        <v/>
      </c>
      <c r="H22" s="7" t="inlineStr"/>
      <c r="I22" s="7" t="inlineStr"/>
      <c r="J22" s="7">
        <f>SUM(J2:J21)</f>
        <v/>
      </c>
      <c r="K22" s="6" t="inlineStr"/>
      <c r="L22" s="6" t="inlineStr"/>
      <c r="M22" s="6" t="inlineStr">
        <is>
          <t>Footprint 50' x 22' = 1,100 sq ft (ground); first floor about 505 sq ft enclosed + 375 sq ft covered terrace</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D02</t>
        </is>
      </c>
      <c r="B3" s="4" t="inlineStr">
        <is>
          <t>Master bedroom (from the lobby)</t>
        </is>
      </c>
      <c r="C3" s="4" t="n">
        <v>2.8</v>
      </c>
      <c r="D3" s="4" t="n">
        <v>7</v>
      </c>
      <c r="E3" s="4" t="inlineStr">
        <is>
          <t>Hinged, single</t>
        </is>
      </c>
      <c r="F3" s="4" t="inlineStr">
        <is>
          <t>Flush, teak veneer</t>
        </is>
      </c>
      <c r="G3" s="4" t="inlineStr">
        <is>
          <t>-</t>
        </is>
      </c>
      <c r="H3" s="8" t="inlineStr"/>
      <c r="I3" s="8" t="inlineStr"/>
    </row>
    <row r="4">
      <c r="A4" s="4" t="inlineStr">
        <is>
          <t>D03</t>
        </is>
      </c>
      <c r="B4" s="4" t="inlineStr">
        <is>
          <t>Master bath (from the master bedroom, opens outward)</t>
        </is>
      </c>
      <c r="C4" s="4" t="n">
        <v>2.5</v>
      </c>
      <c r="D4" s="4" t="n">
        <v>7</v>
      </c>
      <c r="E4" s="4" t="inlineStr">
        <is>
          <t>Hinged, single</t>
        </is>
      </c>
      <c r="F4" s="4" t="inlineStr">
        <is>
          <t>Flush, waterproof (WPC/FRP)</t>
        </is>
      </c>
      <c r="G4" s="4" t="inlineStr">
        <is>
          <t>-</t>
        </is>
      </c>
      <c r="H4" s="8" t="inlineStr"/>
      <c r="I4" s="8" t="inlineStr"/>
    </row>
    <row r="5">
      <c r="A5" s="4" t="inlineStr">
        <is>
          <t>D04</t>
        </is>
      </c>
      <c r="B5" s="4" t="inlineStr">
        <is>
          <t>Common bath (from the lobby, opens outward)</t>
        </is>
      </c>
      <c r="C5" s="4" t="n">
        <v>2.5</v>
      </c>
      <c r="D5" s="4" t="n">
        <v>7</v>
      </c>
      <c r="E5" s="4" t="inlineStr">
        <is>
          <t>Hinged, single</t>
        </is>
      </c>
      <c r="F5" s="4" t="inlineStr">
        <is>
          <t>Flush, waterproof (WPC/FRP), door closer</t>
        </is>
      </c>
      <c r="G5" s="4" t="inlineStr">
        <is>
          <t>-</t>
        </is>
      </c>
      <c r="H5" s="8" t="inlineStr"/>
      <c r="I5" s="8" t="inlineStr"/>
    </row>
    <row r="6">
      <c r="A6" s="4" t="inlineStr">
        <is>
          <t>D05</t>
        </is>
      </c>
      <c r="B6" s="4" t="inlineStr">
        <is>
          <t>Small bedroom (from the passage beside the stair)</t>
        </is>
      </c>
      <c r="C6" s="4" t="n">
        <v>2.6</v>
      </c>
      <c r="D6" s="4" t="n">
        <v>7</v>
      </c>
      <c r="E6" s="4" t="inlineStr">
        <is>
          <t>Hinged, single</t>
        </is>
      </c>
      <c r="F6" s="4" t="inlineStr">
        <is>
          <t>Flush, teak veneer</t>
        </is>
      </c>
      <c r="G6" s="4" t="inlineStr">
        <is>
          <t>-</t>
        </is>
      </c>
      <c r="H6" s="8" t="inlineStr"/>
      <c r="I6" s="8" t="inlineStr"/>
    </row>
    <row r="7">
      <c r="A7" s="4" t="inlineStr">
        <is>
          <t>D11</t>
        </is>
      </c>
      <c r="B7" s="4" t="inlineStr">
        <is>
          <t>Pooja</t>
        </is>
      </c>
      <c r="C7" s="4" t="n">
        <v>3</v>
      </c>
      <c r="D7" s="4" t="n">
        <v>7</v>
      </c>
      <c r="E7" s="4" t="inlineStr">
        <is>
          <t>Hinged, double</t>
        </is>
      </c>
      <c r="F7" s="4" t="inlineStr">
        <is>
          <t>Carved teak, double leaf (opens inward, clear of the living; faces west, family faces east)</t>
        </is>
      </c>
      <c r="G7" s="4" t="inlineStr">
        <is>
          <t>Teak jali vent in a frame: air passes freely (rooms with no sound-privacy need)</t>
        </is>
      </c>
      <c r="H7" s="8" t="inlineStr"/>
      <c r="I7" s="8" t="inlineStr"/>
    </row>
    <row r="8">
      <c r="A8" s="4" t="inlineStr">
        <is>
          <t>D12</t>
        </is>
      </c>
      <c r="B8" s="4" t="inlineStr">
        <is>
          <t>Kitchen to wet area (sliding)</t>
        </is>
      </c>
      <c r="C8" s="4" t="n">
        <v>2.5</v>
      </c>
      <c r="D8" s="4" t="n">
        <v>7</v>
      </c>
      <c r="E8" s="4" t="inlineStr">
        <is>
          <t>Sliding</t>
        </is>
      </c>
      <c r="F8" s="4" t="inlineStr">
        <is>
          <t>Steel or WPC sliding, lockable</t>
        </is>
      </c>
      <c r="G8" s="4" t="inlineStr">
        <is>
          <t>-</t>
        </is>
      </c>
      <c r="H8" s="8" t="inlineStr"/>
      <c r="I8" s="8" t="inlineStr"/>
    </row>
    <row r="9">
      <c r="A9" s="4" t="inlineStr">
        <is>
          <t>D17</t>
        </is>
      </c>
      <c r="B9" s="4" t="inlineStr">
        <is>
          <t>Kitchen entry (west, from the dining; hinged at the north jamb)</t>
        </is>
      </c>
      <c r="C9" s="4" t="n">
        <v>3</v>
      </c>
      <c r="D9" s="4" t="n">
        <v>7</v>
      </c>
      <c r="E9" s="4" t="inlineStr">
        <is>
          <t>Hinged, single</t>
        </is>
      </c>
      <c r="F9" s="4" t="inlineStr">
        <is>
          <t>Teak frame, glazed upper panel, 3 ft (closes off cooking smoke)</t>
        </is>
      </c>
      <c r="G9" s="4" t="inlineStr">
        <is>
          <t>-</t>
        </is>
      </c>
      <c r="H9" s="8" t="inlineStr"/>
      <c r="I9" s="8" t="inlineStr"/>
    </row>
    <row r="10">
      <c r="A10" s="4" t="inlineStr">
        <is>
          <t>D18</t>
        </is>
      </c>
      <c r="B10" s="4" t="inlineStr">
        <is>
          <t>Wet area service door to the south walkway (opens inward)</t>
        </is>
      </c>
      <c r="C10" s="4" t="n">
        <v>2.5</v>
      </c>
      <c r="D10" s="4" t="n">
        <v>7</v>
      </c>
      <c r="E10" s="4" t="inlineStr">
        <is>
          <t>Hinged, single</t>
        </is>
      </c>
      <c r="F10" s="4" t="inlineStr">
        <is>
          <t>Steel, lockable, louvred top</t>
        </is>
      </c>
      <c r="G10" s="4" t="inlineStr">
        <is>
          <t>-</t>
        </is>
      </c>
      <c r="H10" s="8" t="inlineStr"/>
      <c r="I10" s="8" t="inlineStr"/>
    </row>
    <row r="11">
      <c r="A11" s="4" t="inlineStr">
        <is>
          <t>D19</t>
        </is>
      </c>
      <c r="B11" s="4" t="inlineStr">
        <is>
          <t>Store (from the dining)</t>
        </is>
      </c>
      <c r="C11" s="4" t="n">
        <v>2.5</v>
      </c>
      <c r="D11" s="4" t="n">
        <v>7</v>
      </c>
      <c r="E11" s="4" t="inlineStr">
        <is>
          <t>Hinged, single</t>
        </is>
      </c>
      <c r="F11" s="4" t="inlineStr">
        <is>
          <t>Flush, teak veneer</t>
        </is>
      </c>
      <c r="G11" s="4" t="inlineStr">
        <is>
          <t>Teak jali vent in a frame: air passes freely (rooms with no sound-privacy need)</t>
        </is>
      </c>
      <c r="H11" s="8" t="inlineStr"/>
      <c r="I11" s="8" t="inlineStr"/>
    </row>
    <row r="12">
      <c r="A12" s="4" t="inlineStr">
        <is>
          <t>D31</t>
        </is>
      </c>
      <c r="B12" s="4" t="inlineStr">
        <is>
          <t>Upper master bedroom (from the landing)</t>
        </is>
      </c>
      <c r="C12" s="4" t="n">
        <v>2.8</v>
      </c>
      <c r="D12" s="4" t="n">
        <v>7</v>
      </c>
      <c r="E12" s="4" t="inlineStr">
        <is>
          <t>Hinged, single</t>
        </is>
      </c>
      <c r="F12" s="4" t="inlineStr">
        <is>
          <t>Flush, teak veneer</t>
        </is>
      </c>
      <c r="G12" s="4" t="inlineStr">
        <is>
          <t>-</t>
        </is>
      </c>
      <c r="H12" s="8" t="inlineStr"/>
      <c r="I12" s="8" t="inlineStr"/>
    </row>
    <row r="13">
      <c r="A13" s="4" t="inlineStr">
        <is>
          <t>D32</t>
        </is>
      </c>
      <c r="B13" s="4" t="inlineStr">
        <is>
          <t>Dressing (sliding, from the upper master)</t>
        </is>
      </c>
      <c r="C13" s="4" t="n">
        <v>2.5</v>
      </c>
      <c r="D13" s="4" t="n">
        <v>7</v>
      </c>
      <c r="E13" s="4" t="inlineStr">
        <is>
          <t>Sliding</t>
        </is>
      </c>
      <c r="F13" s="4" t="inlineStr">
        <is>
          <t>Sliding, teak veneer</t>
        </is>
      </c>
      <c r="G13" s="4" t="inlineStr">
        <is>
          <t>-</t>
        </is>
      </c>
      <c r="H13" s="8" t="inlineStr"/>
      <c r="I13" s="8" t="inlineStr"/>
    </row>
    <row r="14">
      <c r="A14" s="4" t="inlineStr">
        <is>
          <t>D33</t>
        </is>
      </c>
      <c r="B14" s="4" t="inlineStr">
        <is>
          <t>Upper master bath (from the dressing, opens outward; hinged at the north jamb)</t>
        </is>
      </c>
      <c r="C14" s="4" t="n">
        <v>2.5</v>
      </c>
      <c r="D14" s="4" t="n">
        <v>7</v>
      </c>
      <c r="E14" s="4" t="inlineStr">
        <is>
          <t>Hinged, single</t>
        </is>
      </c>
      <c r="F14" s="4" t="inlineStr">
        <is>
          <t>Flush, waterproof (WPC/FRP)</t>
        </is>
      </c>
      <c r="G14" s="4" t="inlineStr">
        <is>
          <t>-</t>
        </is>
      </c>
      <c r="H14" s="8" t="inlineStr"/>
      <c r="I14" s="8" t="inlineStr"/>
    </row>
    <row r="15">
      <c r="A15" s="4" t="inlineStr">
        <is>
          <t>D36</t>
        </is>
      </c>
      <c r="B15" s="4" t="inlineStr">
        <is>
          <t>Covered terrace (from the landing, opens outward)</t>
        </is>
      </c>
      <c r="C15" s="4" t="n">
        <v>2.8</v>
      </c>
      <c r="D15" s="4" t="n">
        <v>7</v>
      </c>
      <c r="E15" s="4" t="inlineStr">
        <is>
          <t>Hinged, single</t>
        </is>
      </c>
      <c r="F15" s="4" t="inlineStr">
        <is>
          <t>Teak frame, glazed, 3 ft</t>
        </is>
      </c>
      <c r="G15" s="4" t="inlineStr">
        <is>
          <t>-</t>
        </is>
      </c>
      <c r="H15" s="8" t="inlineStr"/>
      <c r="I15"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Master bedroom</t>
        </is>
      </c>
      <c r="C2" s="4" t="inlineStr">
        <is>
          <t>Inside</t>
        </is>
      </c>
      <c r="D2" s="9" t="n">
        <v>6</v>
      </c>
      <c r="E2" s="9" t="n">
        <v>3</v>
      </c>
      <c r="F2" s="9" t="n">
        <v>7</v>
      </c>
      <c r="G2" s="9">
        <f>F2-E2</f>
        <v/>
      </c>
      <c r="H2" s="4" t="inlineStr">
        <is>
          <t>Timber jali + glazed shutters (west, shaded by the creeper pergola)</t>
        </is>
      </c>
      <c r="I2" s="8" t="inlineStr"/>
    </row>
    <row r="3">
      <c r="A3" s="4" t="inlineStr">
        <is>
          <t>W02</t>
        </is>
      </c>
      <c r="B3" s="4" t="inlineStr">
        <is>
          <t>Master bath</t>
        </is>
      </c>
      <c r="C3" s="4" t="inlineStr">
        <is>
          <t>South</t>
        </is>
      </c>
      <c r="D3" s="9" t="n">
        <v>2</v>
      </c>
      <c r="E3" s="9" t="n">
        <v>5</v>
      </c>
      <c r="F3" s="9" t="n">
        <v>7</v>
      </c>
      <c r="G3" s="9">
        <f>F3-E3</f>
        <v/>
      </c>
      <c r="H3" s="4" t="inlineStr">
        <is>
          <t>Frosted casement, top-hung vent</t>
        </is>
      </c>
      <c r="I3" s="8" t="inlineStr"/>
    </row>
    <row r="4">
      <c r="A4" s="4" t="inlineStr">
        <is>
          <t>W03</t>
        </is>
      </c>
      <c r="B4" s="4" t="inlineStr">
        <is>
          <t>Common bath</t>
        </is>
      </c>
      <c r="C4" s="4" t="inlineStr">
        <is>
          <t>South</t>
        </is>
      </c>
      <c r="D4" s="9" t="n">
        <v>2</v>
      </c>
      <c r="E4" s="9" t="n">
        <v>5</v>
      </c>
      <c r="F4" s="9" t="n">
        <v>7</v>
      </c>
      <c r="G4" s="9">
        <f>F4-E4</f>
        <v/>
      </c>
      <c r="H4" s="4" t="inlineStr">
        <is>
          <t>Frosted casement, top-hung vent</t>
        </is>
      </c>
      <c r="I4" s="8" t="inlineStr"/>
    </row>
    <row r="5">
      <c r="A5" s="4" t="inlineStr">
        <is>
          <t>W04</t>
        </is>
      </c>
      <c r="B5" s="4" t="inlineStr">
        <is>
          <t>Small bedroom</t>
        </is>
      </c>
      <c r="C5" s="4" t="inlineStr">
        <is>
          <t>North</t>
        </is>
      </c>
      <c r="D5" s="9" t="n">
        <v>6</v>
      </c>
      <c r="E5" s="9" t="n">
        <v>3</v>
      </c>
      <c r="F5" s="9" t="n">
        <v>7</v>
      </c>
      <c r="G5" s="9">
        <f>F5-E5</f>
        <v/>
      </c>
      <c r="H5" s="4" t="inlineStr">
        <is>
          <t>Teak casement, glazed (6 ft)</t>
        </is>
      </c>
      <c r="I5" s="8" t="inlineStr"/>
    </row>
    <row r="6">
      <c r="A6" s="4" t="inlineStr">
        <is>
          <t>W13</t>
        </is>
      </c>
      <c r="B6" s="4" t="inlineStr">
        <is>
          <t>Small bedroom</t>
        </is>
      </c>
      <c r="C6" s="4" t="inlineStr">
        <is>
          <t>Inside</t>
        </is>
      </c>
      <c r="D6" s="9" t="n">
        <v>2</v>
      </c>
      <c r="E6" s="9" t="n">
        <v>5</v>
      </c>
      <c r="F6" s="9" t="n">
        <v>7</v>
      </c>
      <c r="G6" s="9">
        <f>F6-E6</f>
        <v/>
      </c>
      <c r="H6" s="4" t="inlineStr">
        <is>
          <t>High jali vent (west, cross-ventilation)</t>
        </is>
      </c>
      <c r="I6" s="8" t="inlineStr"/>
    </row>
    <row r="7">
      <c r="A7" s="4" t="inlineStr">
        <is>
          <t>W05</t>
        </is>
      </c>
      <c r="B7" s="4" t="inlineStr">
        <is>
          <t>Stair</t>
        </is>
      </c>
      <c r="C7" s="4" t="inlineStr">
        <is>
          <t>North</t>
        </is>
      </c>
      <c r="D7" s="9" t="n">
        <v>4</v>
      </c>
      <c r="E7" s="9" t="n">
        <v>6</v>
      </c>
      <c r="F7" s="9" t="n">
        <v>9.5</v>
      </c>
      <c r="G7" s="9">
        <f>F7-E7</f>
        <v/>
      </c>
      <c r="H7" s="4" t="inlineStr">
        <is>
          <t>Glazed casement at the half landing</t>
        </is>
      </c>
      <c r="I7" s="8" t="inlineStr"/>
    </row>
    <row r="8">
      <c r="A8" s="4" t="inlineStr">
        <is>
          <t>W10</t>
        </is>
      </c>
      <c r="B8" s="4" t="inlineStr">
        <is>
          <t>Stair</t>
        </is>
      </c>
      <c r="C8" s="4" t="inlineStr">
        <is>
          <t>Inside</t>
        </is>
      </c>
      <c r="D8" s="9" t="n">
        <v>3.4</v>
      </c>
      <c r="E8" s="9" t="n">
        <v>1</v>
      </c>
      <c r="F8" s="9" t="n">
        <v>7</v>
      </c>
      <c r="G8" s="9">
        <f>F8-E8</f>
        <v/>
      </c>
      <c r="H8" s="4" t="inlineStr">
        <is>
          <t>Timber jali screen between the stair foot and the living</t>
        </is>
      </c>
      <c r="I8" s="8" t="inlineStr"/>
    </row>
    <row r="9">
      <c r="A9" s="4" t="inlineStr">
        <is>
          <t>W11</t>
        </is>
      </c>
      <c r="B9" s="4" t="inlineStr">
        <is>
          <t>Store</t>
        </is>
      </c>
      <c r="C9" s="4" t="inlineStr">
        <is>
          <t>South</t>
        </is>
      </c>
      <c r="D9" s="9" t="n">
        <v>2</v>
      </c>
      <c r="E9" s="9" t="n">
        <v>5</v>
      </c>
      <c r="F9" s="9" t="n">
        <v>7</v>
      </c>
      <c r="G9" s="9">
        <f>F9-E9</f>
        <v/>
      </c>
      <c r="H9" s="4" t="inlineStr">
        <is>
          <t>High jali vent</t>
        </is>
      </c>
      <c r="I9" s="8" t="inlineStr"/>
    </row>
    <row r="10">
      <c r="A10" s="4" t="inlineStr">
        <is>
          <t>W12</t>
        </is>
      </c>
      <c r="B10" s="4" t="inlineStr">
        <is>
          <t>Wet area</t>
        </is>
      </c>
      <c r="C10" s="4" t="inlineStr">
        <is>
          <t>South</t>
        </is>
      </c>
      <c r="D10" s="9" t="n">
        <v>1.7</v>
      </c>
      <c r="E10" s="9" t="n">
        <v>4.5</v>
      </c>
      <c r="F10" s="9" t="n">
        <v>7</v>
      </c>
      <c r="G10" s="9">
        <f>F10-E10</f>
        <v/>
      </c>
      <c r="H10" s="4" t="inlineStr">
        <is>
          <t>Jali vent over the utility sink</t>
        </is>
      </c>
      <c r="I10" s="8" t="inlineStr"/>
    </row>
    <row r="11">
      <c r="A11" s="4" t="inlineStr">
        <is>
          <t>W07</t>
        </is>
      </c>
      <c r="B11" s="4" t="inlineStr">
        <is>
          <t>Kitchen</t>
        </is>
      </c>
      <c r="C11" s="4" t="inlineStr">
        <is>
          <t>South</t>
        </is>
      </c>
      <c r="D11" s="9" t="n">
        <v>6</v>
      </c>
      <c r="E11" s="9" t="n">
        <v>3.5</v>
      </c>
      <c r="F11" s="9" t="n">
        <v>7</v>
      </c>
      <c r="G11" s="9">
        <f>F11-E11</f>
        <v/>
      </c>
      <c r="H11" s="4" t="inlineStr">
        <is>
          <t>Timber jali + glazed shutters</t>
        </is>
      </c>
      <c r="I11" s="8" t="inlineStr"/>
    </row>
    <row r="12">
      <c r="A12" s="4" t="inlineStr">
        <is>
          <t>W08</t>
        </is>
      </c>
      <c r="B12" s="4" t="inlineStr">
        <is>
          <t>Kitchen</t>
        </is>
      </c>
      <c r="C12" s="4" t="inlineStr">
        <is>
          <t>East</t>
        </is>
      </c>
      <c r="D12" s="9" t="n">
        <v>3</v>
      </c>
      <c r="E12" s="9" t="n">
        <v>3.5</v>
      </c>
      <c r="F12" s="9" t="n">
        <v>7</v>
      </c>
      <c r="G12" s="9">
        <f>F12-E12</f>
        <v/>
      </c>
      <c r="H12" s="4" t="inlineStr">
        <is>
          <t>Timber jali + glazed shutters (3 ft, north end; hob wall kept solid)</t>
        </is>
      </c>
      <c r="I12" s="8" t="inlineStr"/>
    </row>
    <row r="13">
      <c r="A13" s="4" t="inlineStr">
        <is>
          <t>W09</t>
        </is>
      </c>
      <c r="B13" s="4" t="inlineStr">
        <is>
          <t>Living</t>
        </is>
      </c>
      <c r="C13" s="4" t="inlineStr">
        <is>
          <t>North</t>
        </is>
      </c>
      <c r="D13" s="9" t="n">
        <v>6</v>
      </c>
      <c r="E13" s="9" t="n">
        <v>3</v>
      </c>
      <c r="F13" s="9" t="n">
        <v>7</v>
      </c>
      <c r="G13" s="9">
        <f>F13-E13</f>
        <v/>
      </c>
      <c r="H13" s="4" t="inlineStr">
        <is>
          <t>Teak casement, glazed (6 ft)</t>
        </is>
      </c>
      <c r="I13" s="8" t="inlineStr"/>
    </row>
    <row r="14">
      <c r="A14" s="4" t="inlineStr">
        <is>
          <t>W17</t>
        </is>
      </c>
      <c r="B14" s="4" t="inlineStr">
        <is>
          <t>Pooja</t>
        </is>
      </c>
      <c r="C14" s="4" t="inlineStr">
        <is>
          <t>East</t>
        </is>
      </c>
      <c r="D14" s="9" t="n">
        <v>2.8</v>
      </c>
      <c r="E14" s="9" t="n">
        <v>5.5</v>
      </c>
      <c r="F14" s="9" t="n">
        <v>7</v>
      </c>
      <c r="G14" s="9">
        <f>F14-E14</f>
        <v/>
      </c>
      <c r="H14" s="4" t="inlineStr">
        <is>
          <t>High vent to the poomukham, jali + mesh (lamp smoke out)</t>
        </is>
      </c>
      <c r="I14" s="8" t="inlineStr"/>
    </row>
    <row r="15">
      <c r="A15" s="4" t="inlineStr">
        <is>
          <t>W31</t>
        </is>
      </c>
      <c r="B15" s="4" t="inlineStr">
        <is>
          <t>Upper master bedroom (1st floor)</t>
        </is>
      </c>
      <c r="C15" s="4" t="inlineStr">
        <is>
          <t>South</t>
        </is>
      </c>
      <c r="D15" s="9" t="n">
        <v>6</v>
      </c>
      <c r="E15" s="9" t="n">
        <v>3</v>
      </c>
      <c r="F15" s="9" t="n">
        <v>7</v>
      </c>
      <c r="G15" s="9">
        <f>F15-E15</f>
        <v/>
      </c>
      <c r="H15" s="4" t="inlineStr">
        <is>
          <t>Timber jali + glazed shutters</t>
        </is>
      </c>
      <c r="I15" s="8" t="inlineStr"/>
    </row>
    <row r="16">
      <c r="A16" s="4" t="inlineStr">
        <is>
          <t>W32</t>
        </is>
      </c>
      <c r="B16" s="4" t="inlineStr">
        <is>
          <t>Dressing (1st floor)</t>
        </is>
      </c>
      <c r="C16" s="4" t="inlineStr">
        <is>
          <t>South</t>
        </is>
      </c>
      <c r="D16" s="9" t="n">
        <v>2</v>
      </c>
      <c r="E16" s="9" t="n">
        <v>5</v>
      </c>
      <c r="F16" s="9" t="n">
        <v>7</v>
      </c>
      <c r="G16" s="9">
        <f>F16-E16</f>
        <v/>
      </c>
      <c r="H16" s="4" t="inlineStr">
        <is>
          <t>Frosted casement</t>
        </is>
      </c>
      <c r="I16" s="8" t="inlineStr"/>
    </row>
    <row r="17">
      <c r="A17" s="4" t="inlineStr">
        <is>
          <t>W33</t>
        </is>
      </c>
      <c r="B17" s="4" t="inlineStr">
        <is>
          <t>Upper master bath (1st floor)</t>
        </is>
      </c>
      <c r="C17" s="4" t="inlineStr">
        <is>
          <t>South</t>
        </is>
      </c>
      <c r="D17" s="9" t="n">
        <v>2</v>
      </c>
      <c r="E17" s="9" t="n">
        <v>5</v>
      </c>
      <c r="F17" s="9" t="n">
        <v>7</v>
      </c>
      <c r="G17" s="9">
        <f>F17-E17</f>
        <v/>
      </c>
      <c r="H17" s="4" t="inlineStr">
        <is>
          <t>Frosted casement, top-hung vent</t>
        </is>
      </c>
      <c r="I17" s="8" t="inlineStr"/>
    </row>
    <row r="18">
      <c r="A18" s="4" t="inlineStr">
        <is>
          <t>W34</t>
        </is>
      </c>
      <c r="B18" s="4" t="inlineStr">
        <is>
          <t>Sitting and study (upper master) (1st floor)</t>
        </is>
      </c>
      <c r="C18" s="4" t="inlineStr">
        <is>
          <t>North</t>
        </is>
      </c>
      <c r="D18" s="9" t="n">
        <v>6</v>
      </c>
      <c r="E18" s="9" t="n">
        <v>3</v>
      </c>
      <c r="F18" s="9" t="n">
        <v>7</v>
      </c>
      <c r="G18" s="9">
        <f>F18-E18</f>
        <v/>
      </c>
      <c r="H18" s="4" t="inlineStr">
        <is>
          <t>Teak casement, glazed (6 ft, north light for the desk and reading)</t>
        </is>
      </c>
      <c r="I18" s="8" t="inlineStr"/>
    </row>
    <row r="19">
      <c r="A19" s="4" t="inlineStr">
        <is>
          <t>W41</t>
        </is>
      </c>
      <c r="B19" s="4" t="inlineStr">
        <is>
          <t>Sitting and study (upper master) (1st floor)</t>
        </is>
      </c>
      <c r="C19" s="4" t="inlineStr">
        <is>
          <t>Inside</t>
        </is>
      </c>
      <c r="D19" s="9" t="n">
        <v>2</v>
      </c>
      <c r="E19" s="9" t="n">
        <v>5</v>
      </c>
      <c r="F19" s="9" t="n">
        <v>7</v>
      </c>
      <c r="G19" s="9">
        <f>F19-E19</f>
        <v/>
      </c>
      <c r="H19" s="4" t="inlineStr">
        <is>
          <t>High jali vent (west, cross-ventilation)</t>
        </is>
      </c>
      <c r="I19" s="8" t="inlineStr"/>
    </row>
    <row r="20">
      <c r="A20" s="4" t="inlineStr">
        <is>
          <t>W40</t>
        </is>
      </c>
      <c r="B20" s="4" t="inlineStr">
        <is>
          <t>Stair (1st floor)</t>
        </is>
      </c>
      <c r="C20" s="4" t="inlineStr">
        <is>
          <t>Inside</t>
        </is>
      </c>
      <c r="D20" s="9" t="n">
        <v>9.5</v>
      </c>
      <c r="E20" s="9" t="n">
        <v>1</v>
      </c>
      <c r="F20" s="9" t="n">
        <v>8</v>
      </c>
      <c r="G20" s="9">
        <f>F20-E20</f>
        <v/>
      </c>
      <c r="H20" s="4" t="inlineStr">
        <is>
          <t>Timber jali screen between the stair well and the covered terrace (light and air for the stair)</t>
        </is>
      </c>
      <c r="I20" s="8" t="inlineStr"/>
    </row>
    <row r="21">
      <c r="A21" s="4" t="inlineStr">
        <is>
          <t>GV1-3</t>
        </is>
      </c>
      <c r="B21" s="4" t="inlineStr">
        <is>
          <t>Roof</t>
        </is>
      </c>
      <c r="C21" s="4" t="inlineStr">
        <is>
          <t>Up</t>
        </is>
      </c>
      <c r="D21" s="9" t="inlineStr"/>
      <c r="E21" s="9" t="inlineStr"/>
      <c r="F21" s="9" t="inlineStr"/>
      <c r="G21" s="9" t="inlineStr"/>
      <c r="H21" s="4" t="inlineStr">
        <is>
          <t>Three jali vents in the front gable (mukhappu): air for the roof space over the verandah and the kitchen front</t>
        </is>
      </c>
      <c r="I21"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9"/>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F10</t>
        </is>
      </c>
      <c r="B2" s="4" t="inlineStr">
        <is>
          <t>Master bedroom</t>
        </is>
      </c>
      <c r="C2" s="4" t="inlineStr">
        <is>
          <t>Queen bed 5' x 6'6" + headboard, head to the south wall</t>
        </is>
      </c>
      <c r="D2" s="4" t="inlineStr">
        <is>
          <t>Loose furniture</t>
        </is>
      </c>
      <c r="E2" s="4" t="n">
        <v>5</v>
      </c>
      <c r="F2" s="4" t="n">
        <v>6.6</v>
      </c>
      <c r="G2" s="4" t="n">
        <v>1</v>
      </c>
      <c r="H2" s="4" t="inlineStr">
        <is>
          <t>Teak, head to south</t>
        </is>
      </c>
      <c r="I2" s="10" t="n"/>
      <c r="J2" s="11">
        <f>G2*I2</f>
        <v/>
      </c>
      <c r="K2" s="8" t="inlineStr"/>
      <c r="L2" s="8" t="inlineStr"/>
    </row>
    <row r="3">
      <c r="A3" s="4" t="inlineStr">
        <is>
          <t>F11</t>
        </is>
      </c>
      <c r="B3" s="4" t="inlineStr">
        <is>
          <t>Master bedroom</t>
        </is>
      </c>
      <c r="C3" s="4" t="inlineStr">
        <is>
          <t>Floating bedside shelf with a drawer, reading light and charging point above</t>
        </is>
      </c>
      <c r="D3" s="4" t="inlineStr">
        <is>
          <t>Loose furniture</t>
        </is>
      </c>
      <c r="E3" s="4" t="n">
        <v>1</v>
      </c>
      <c r="F3" s="4" t="n">
        <v>1</v>
      </c>
      <c r="G3" s="4" t="n">
        <v>2</v>
      </c>
      <c r="H3" s="4" t="inlineStr">
        <is>
          <t>Teak, wall-hung</t>
        </is>
      </c>
      <c r="I3" s="10" t="n"/>
      <c r="J3" s="11">
        <f>G3*I3</f>
        <v/>
      </c>
      <c r="K3" s="8" t="inlineStr"/>
      <c r="L3" s="8" t="inlineStr"/>
    </row>
    <row r="4">
      <c r="A4" s="4" t="inlineStr">
        <is>
          <t>F04</t>
        </is>
      </c>
      <c r="B4" s="4" t="inlineStr">
        <is>
          <t>Master bedroom</t>
        </is>
      </c>
      <c r="C4" s="4" t="inlineStr">
        <is>
          <t>Built-in wardrobe 6', north wall, sliding doors, lofts above</t>
        </is>
      </c>
      <c r="D4" s="4" t="inlineStr">
        <is>
          <t>Built-in joinery</t>
        </is>
      </c>
      <c r="E4" s="4" t="n">
        <v>6</v>
      </c>
      <c r="F4" s="4" t="n">
        <v>2</v>
      </c>
      <c r="G4" s="4" t="n">
        <v>1</v>
      </c>
      <c r="H4" s="4" t="inlineStr">
        <is>
          <t>Ply + laminate, 2 ft deep</t>
        </is>
      </c>
      <c r="I4" s="10" t="n"/>
      <c r="J4" s="11">
        <f>G4*I4</f>
        <v/>
      </c>
      <c r="K4" s="8" t="inlineStr"/>
      <c r="L4" s="8" t="inlineStr"/>
    </row>
    <row r="5">
      <c r="A5" s="4" t="inlineStr">
        <is>
          <t>F06</t>
        </is>
      </c>
      <c r="B5" s="4" t="inlineStr">
        <is>
          <t>Master bedroom</t>
        </is>
      </c>
      <c r="C5" s="4" t="inlineStr">
        <is>
          <t>Dresser with mirror (north wall)</t>
        </is>
      </c>
      <c r="D5" s="4" t="inlineStr">
        <is>
          <t>Loose furniture</t>
        </is>
      </c>
      <c r="E5" s="4" t="n">
        <v>3</v>
      </c>
      <c r="F5" s="4" t="n">
        <v>0.7</v>
      </c>
      <c r="G5" s="4" t="n">
        <v>1</v>
      </c>
      <c r="H5" s="4" t="inlineStr">
        <is>
          <t>Teak</t>
        </is>
      </c>
      <c r="I5" s="10" t="n"/>
      <c r="J5" s="11">
        <f>G5*I5</f>
        <v/>
      </c>
      <c r="K5" s="8" t="inlineStr"/>
      <c r="L5" s="8" t="inlineStr"/>
    </row>
    <row r="6">
      <c r="A6" s="4" t="inlineStr">
        <is>
          <t>F07</t>
        </is>
      </c>
      <c r="B6" s="4" t="inlineStr">
        <is>
          <t>Master bath</t>
        </is>
      </c>
      <c r="C6" s="4" t="inlineStr">
        <is>
          <t>Vanity basin counter 2' with a mirror cabinet above (north wall)</t>
        </is>
      </c>
      <c r="D6" s="4" t="inlineStr">
        <is>
          <t>Sanitary / plumbing</t>
        </is>
      </c>
      <c r="E6" s="4" t="n">
        <v>2</v>
      </c>
      <c r="F6" s="4" t="n">
        <v>1.3</v>
      </c>
      <c r="G6" s="4" t="n">
        <v>1</v>
      </c>
      <c r="H6" s="4" t="inlineStr">
        <is>
          <t>Granite top, wall-hung</t>
        </is>
      </c>
      <c r="I6" s="10" t="n"/>
      <c r="J6" s="11">
        <f>G6*I6</f>
        <v/>
      </c>
      <c r="K6" s="8" t="inlineStr"/>
      <c r="L6" s="8" t="inlineStr"/>
    </row>
    <row r="7">
      <c r="A7" s="4" t="inlineStr">
        <is>
          <t>F08</t>
        </is>
      </c>
      <c r="B7" s="4" t="inlineStr">
        <is>
          <t>Master bath</t>
        </is>
      </c>
      <c r="C7" s="4" t="inlineStr">
        <is>
          <t>WC (EWC) on the wet wall shared with the common bath</t>
        </is>
      </c>
      <c r="D7" s="4" t="inlineStr">
        <is>
          <t>Sanitary / plumbing</t>
        </is>
      </c>
      <c r="E7" s="4" t="n">
        <v>1.6</v>
      </c>
      <c r="F7" s="4" t="n">
        <v>1.2</v>
      </c>
      <c r="G7" s="4" t="n">
        <v>1</v>
      </c>
      <c r="H7" s="4" t="inlineStr">
        <is>
          <t>Wall-hung, concealed cistern</t>
        </is>
      </c>
      <c r="I7" s="10" t="n"/>
      <c r="J7" s="11">
        <f>G7*I7</f>
        <v/>
      </c>
      <c r="K7" s="8" t="inlineStr"/>
      <c r="L7" s="8" t="inlineStr"/>
    </row>
    <row r="8">
      <c r="A8" s="4" t="inlineStr">
        <is>
          <t>F09</t>
        </is>
      </c>
      <c r="B8" s="4" t="inlineStr">
        <is>
          <t>Master bath</t>
        </is>
      </c>
      <c r="C8" s="4" t="inlineStr">
        <is>
          <t>Shower glass partition (shower in the south-west corner)</t>
        </is>
      </c>
      <c r="D8" s="4" t="inlineStr">
        <is>
          <t>Sanitary / plumbing</t>
        </is>
      </c>
      <c r="E8" s="4" t="n">
        <v>2.1</v>
      </c>
      <c r="F8" s="4" t="n">
        <v>0.15</v>
      </c>
      <c r="G8" s="4" t="n">
        <v>1</v>
      </c>
      <c r="H8" s="4" t="inlineStr">
        <is>
          <t>8 mm toughened glass</t>
        </is>
      </c>
      <c r="I8" s="10" t="n"/>
      <c r="J8" s="11">
        <f>G8*I8</f>
        <v/>
      </c>
      <c r="K8" s="8" t="inlineStr"/>
      <c r="L8" s="8" t="inlineStr"/>
    </row>
    <row r="9">
      <c r="A9" s="4" t="inlineStr">
        <is>
          <t>F63</t>
        </is>
      </c>
      <c r="B9" s="4" t="inlineStr">
        <is>
          <t>Master bath</t>
        </is>
      </c>
      <c r="C9" s="4" t="inlineStr">
        <is>
          <t>Recessed shower niche 1' x 1'-7" x 3 in deep, tiled, sloped sill</t>
        </is>
      </c>
      <c r="D9" s="4" t="inlineStr">
        <is>
          <t>Sanitary / plumbing</t>
        </is>
      </c>
      <c r="E9" s="4" t="n">
        <v>0.25</v>
      </c>
      <c r="F9" s="4" t="n">
        <v>1</v>
      </c>
      <c r="G9" s="4" t="n">
        <v>1</v>
      </c>
      <c r="H9" s="4" t="inlineStr">
        <is>
          <t>Tile lined, waterproofed</t>
        </is>
      </c>
      <c r="I9" s="10" t="n"/>
      <c r="J9" s="11">
        <f>G9*I9</f>
        <v/>
      </c>
      <c r="K9" s="8" t="inlineStr"/>
      <c r="L9" s="8" t="inlineStr"/>
    </row>
    <row r="10">
      <c r="A10" s="4" t="inlineStr">
        <is>
          <t>F16</t>
        </is>
      </c>
      <c r="B10" s="4" t="inlineStr">
        <is>
          <t>Common bath</t>
        </is>
      </c>
      <c r="C10" s="4" t="inlineStr">
        <is>
          <t>WC (EWC), back to back with the master WC</t>
        </is>
      </c>
      <c r="D10" s="4" t="inlineStr">
        <is>
          <t>Sanitary / plumbing</t>
        </is>
      </c>
      <c r="E10" s="4" t="n">
        <v>1.6</v>
      </c>
      <c r="F10" s="4" t="n">
        <v>1.2</v>
      </c>
      <c r="G10" s="4" t="n">
        <v>1</v>
      </c>
      <c r="H10" s="4" t="inlineStr">
        <is>
          <t>Wall-hung on the wet wall, concealed cistern</t>
        </is>
      </c>
      <c r="I10" s="10" t="n"/>
      <c r="J10" s="11">
        <f>G10*I10</f>
        <v/>
      </c>
      <c r="K10" s="8" t="inlineStr"/>
      <c r="L10" s="8" t="inlineStr"/>
    </row>
    <row r="11">
      <c r="A11" s="4" t="inlineStr">
        <is>
          <t>F17</t>
        </is>
      </c>
      <c r="B11" s="4" t="inlineStr">
        <is>
          <t>Common bath</t>
        </is>
      </c>
      <c r="C11" s="4" t="inlineStr">
        <is>
          <t>Wash basin with a mirror cabinet above</t>
        </is>
      </c>
      <c r="D11" s="4" t="inlineStr">
        <is>
          <t>Sanitary / plumbing</t>
        </is>
      </c>
      <c r="E11" s="4" t="n">
        <v>0.7</v>
      </c>
      <c r="F11" s="4" t="n">
        <v>1.2</v>
      </c>
      <c r="G11" s="4" t="n">
        <v>1</v>
      </c>
      <c r="H11" s="4" t="inlineStr">
        <is>
          <t>Wall-hung</t>
        </is>
      </c>
      <c r="I11" s="10" t="n"/>
      <c r="J11" s="11">
        <f>G11*I11</f>
        <v/>
      </c>
      <c r="K11" s="8" t="inlineStr"/>
      <c r="L11" s="8" t="inlineStr"/>
    </row>
    <row r="12">
      <c r="A12" s="4" t="inlineStr">
        <is>
          <t>F18</t>
        </is>
      </c>
      <c r="B12" s="4" t="inlineStr">
        <is>
          <t>Common bath</t>
        </is>
      </c>
      <c r="C12" s="4" t="inlineStr">
        <is>
          <t>Shower glass partition (shower across the south end)</t>
        </is>
      </c>
      <c r="D12" s="4" t="inlineStr">
        <is>
          <t>Sanitary / plumbing</t>
        </is>
      </c>
      <c r="E12" s="4" t="n">
        <v>2</v>
      </c>
      <c r="F12" s="4" t="n">
        <v>0.15</v>
      </c>
      <c r="G12" s="4" t="n">
        <v>1</v>
      </c>
      <c r="H12" s="4" t="inlineStr">
        <is>
          <t>8 mm toughened glass</t>
        </is>
      </c>
      <c r="I12" s="10" t="n"/>
      <c r="J12" s="11">
        <f>G12*I12</f>
        <v/>
      </c>
      <c r="K12" s="8" t="inlineStr"/>
      <c r="L12" s="8" t="inlineStr"/>
    </row>
    <row r="13">
      <c r="A13" s="4" t="inlineStr">
        <is>
          <t>F64</t>
        </is>
      </c>
      <c r="B13" s="4" t="inlineStr">
        <is>
          <t>Common bath</t>
        </is>
      </c>
      <c r="C13" s="4" t="inlineStr">
        <is>
          <t>Recessed shower niche 1' x 1'-7" x 3 in deep, tiled, sloped sill (south wall below the window)</t>
        </is>
      </c>
      <c r="D13" s="4" t="inlineStr">
        <is>
          <t>Sanitary / plumbing</t>
        </is>
      </c>
      <c r="E13" s="4" t="n">
        <v>1</v>
      </c>
      <c r="F13" s="4" t="n">
        <v>0.22</v>
      </c>
      <c r="G13" s="4" t="n">
        <v>1</v>
      </c>
      <c r="H13" s="4" t="inlineStr">
        <is>
          <t>Tile lined, waterproofed</t>
        </is>
      </c>
      <c r="I13" s="10" t="n"/>
      <c r="J13" s="11">
        <f>G13*I13</f>
        <v/>
      </c>
      <c r="K13" s="8" t="inlineStr"/>
      <c r="L13" s="8" t="inlineStr"/>
    </row>
    <row r="14">
      <c r="A14" s="4" t="inlineStr">
        <is>
          <t>F20</t>
        </is>
      </c>
      <c r="B14" s="4" t="inlineStr">
        <is>
          <t>Small bedroom</t>
        </is>
      </c>
      <c r="C14" s="4" t="inlineStr">
        <is>
          <t>Double bed 4' x 6'-3" + headboard, head to the east wall</t>
        </is>
      </c>
      <c r="D14" s="4" t="inlineStr">
        <is>
          <t>Loose furniture</t>
        </is>
      </c>
      <c r="E14" s="4" t="n">
        <v>6.3</v>
      </c>
      <c r="F14" s="4" t="n">
        <v>4</v>
      </c>
      <c r="G14" s="4" t="n">
        <v>1</v>
      </c>
      <c r="H14" s="4" t="inlineStr">
        <is>
          <t>Teak</t>
        </is>
      </c>
      <c r="I14" s="10" t="n"/>
      <c r="J14" s="11">
        <f>G14*I14</f>
        <v/>
      </c>
      <c r="K14" s="8" t="inlineStr"/>
      <c r="L14" s="8" t="inlineStr"/>
    </row>
    <row r="15">
      <c r="A15" s="4" t="inlineStr">
        <is>
          <t>F51</t>
        </is>
      </c>
      <c r="B15" s="4" t="inlineStr">
        <is>
          <t>Small bedroom</t>
        </is>
      </c>
      <c r="C15" s="4" t="inlineStr">
        <is>
          <t>Floating bedside shelf with a drawer, reading light and charging point above</t>
        </is>
      </c>
      <c r="D15" s="4" t="inlineStr">
        <is>
          <t>Loose furniture</t>
        </is>
      </c>
      <c r="E15" s="4" t="n">
        <v>1</v>
      </c>
      <c r="F15" s="4" t="n">
        <v>1</v>
      </c>
      <c r="G15" s="4" t="n">
        <v>1</v>
      </c>
      <c r="H15" s="4" t="inlineStr">
        <is>
          <t>Teak, wall-hung</t>
        </is>
      </c>
      <c r="I15" s="10" t="n"/>
      <c r="J15" s="11">
        <f>G15*I15</f>
        <v/>
      </c>
      <c r="K15" s="8" t="inlineStr"/>
      <c r="L15" s="8" t="inlineStr"/>
    </row>
    <row r="16">
      <c r="A16" s="4" t="inlineStr">
        <is>
          <t>F23</t>
        </is>
      </c>
      <c r="B16" s="4" t="inlineStr">
        <is>
          <t>Small bedroom</t>
        </is>
      </c>
      <c r="C16" s="4" t="inlineStr">
        <is>
          <t>Built-in wardrobe 5' with a mirror door (west wall)</t>
        </is>
      </c>
      <c r="D16" s="4" t="inlineStr">
        <is>
          <t>Built-in joinery</t>
        </is>
      </c>
      <c r="E16" s="4" t="n">
        <v>2</v>
      </c>
      <c r="F16" s="4" t="n">
        <v>5</v>
      </c>
      <c r="G16" s="4" t="n">
        <v>1</v>
      </c>
      <c r="H16" s="4" t="inlineStr">
        <is>
          <t>Ply + laminate</t>
        </is>
      </c>
      <c r="I16" s="10" t="n"/>
      <c r="J16" s="11">
        <f>G16*I16</f>
        <v/>
      </c>
      <c r="K16" s="8" t="inlineStr"/>
      <c r="L16" s="8" t="inlineStr"/>
    </row>
    <row r="17">
      <c r="A17" s="4" t="inlineStr">
        <is>
          <t>F22</t>
        </is>
      </c>
      <c r="B17" s="4" t="inlineStr">
        <is>
          <t>Small bedroom</t>
        </is>
      </c>
      <c r="C17" s="4" t="inlineStr">
        <is>
          <t>Study table 4' x 2' (south wall)</t>
        </is>
      </c>
      <c r="D17" s="4" t="inlineStr">
        <is>
          <t>Loose furniture</t>
        </is>
      </c>
      <c r="E17" s="4" t="n">
        <v>4</v>
      </c>
      <c r="F17" s="4" t="n">
        <v>2</v>
      </c>
      <c r="G17" s="4" t="n">
        <v>1</v>
      </c>
      <c r="H17" s="4" t="inlineStr">
        <is>
          <t>Teak / ply, cable tray</t>
        </is>
      </c>
      <c r="I17" s="10" t="n"/>
      <c r="J17" s="11">
        <f>G17*I17</f>
        <v/>
      </c>
      <c r="K17" s="8" t="inlineStr"/>
      <c r="L17" s="8" t="inlineStr"/>
    </row>
    <row r="18">
      <c r="A18" s="4" t="inlineStr">
        <is>
          <t>F57</t>
        </is>
      </c>
      <c r="B18" s="4" t="inlineStr">
        <is>
          <t>Stair and passage</t>
        </is>
      </c>
      <c r="C18" s="4" t="inlineStr">
        <is>
          <t>Under-stair cupboard where the stair drops below 7 ft (DB, inverter, brooms), doors facing the lobby</t>
        </is>
      </c>
      <c r="D18" s="4" t="inlineStr">
        <is>
          <t>Built-in joinery</t>
        </is>
      </c>
      <c r="E18" s="4" t="n">
        <v>3.4</v>
      </c>
      <c r="F18" s="4" t="n">
        <v>1.8</v>
      </c>
      <c r="G18" s="4" t="n">
        <v>1</v>
      </c>
      <c r="H18" s="4" t="inlineStr">
        <is>
          <t>Ply + laminate, ventilated</t>
        </is>
      </c>
      <c r="I18" s="10" t="n"/>
      <c r="J18" s="11">
        <f>G18*I18</f>
        <v/>
      </c>
      <c r="K18" s="8" t="inlineStr"/>
      <c r="L18" s="8" t="inlineStr"/>
    </row>
    <row r="19">
      <c r="A19" s="4" t="inlineStr">
        <is>
          <t>F56</t>
        </is>
      </c>
      <c r="B19" s="4" t="inlineStr">
        <is>
          <t>Stair and passage</t>
        </is>
      </c>
      <c r="C19" s="4" t="inlineStr">
        <is>
          <t>Linen cupboard at the end of the passage, loft above</t>
        </is>
      </c>
      <c r="D19" s="4" t="inlineStr">
        <is>
          <t>Built-in joinery</t>
        </is>
      </c>
      <c r="E19" s="4" t="n">
        <v>5</v>
      </c>
      <c r="F19" s="4" t="n">
        <v>2</v>
      </c>
      <c r="G19" s="4" t="n">
        <v>1</v>
      </c>
      <c r="H19" s="4" t="inlineStr">
        <is>
          <t>Ply + laminate, full height</t>
        </is>
      </c>
      <c r="I19" s="10" t="n"/>
      <c r="J19" s="11">
        <f>G19*I19</f>
        <v/>
      </c>
      <c r="K19" s="8" t="inlineStr"/>
      <c r="L19" s="8" t="inlineStr"/>
    </row>
    <row r="20">
      <c r="A20" s="4" t="inlineStr">
        <is>
          <t>F44</t>
        </is>
      </c>
      <c r="B20" s="4" t="inlineStr">
        <is>
          <t>Store</t>
        </is>
      </c>
      <c r="C20" s="4" t="inlineStr">
        <is>
          <t>Racks, full height (provisions, vessels, festival items)</t>
        </is>
      </c>
      <c r="D20" s="4" t="inlineStr">
        <is>
          <t>Loose furniture</t>
        </is>
      </c>
      <c r="E20" s="4" t="n">
        <v>3.4</v>
      </c>
      <c r="F20" s="4" t="n">
        <v>1.3</v>
      </c>
      <c r="G20" s="4" t="n">
        <v>1</v>
      </c>
      <c r="H20" s="4" t="inlineStr">
        <is>
          <t>Steel / ply racks</t>
        </is>
      </c>
      <c r="I20" s="10" t="n"/>
      <c r="J20" s="11">
        <f>G20*I20</f>
        <v/>
      </c>
      <c r="K20" s="8" t="inlineStr"/>
      <c r="L20" s="8" t="inlineStr"/>
    </row>
    <row r="21">
      <c r="A21" s="4" t="inlineStr">
        <is>
          <t>F29</t>
        </is>
      </c>
      <c r="B21" s="4" t="inlineStr">
        <is>
          <t>Wet area</t>
        </is>
      </c>
      <c r="C21" s="4" t="inlineStr">
        <is>
          <t>Utility sink counter on the south wall, where vessels are washed</t>
        </is>
      </c>
      <c r="D21" s="4" t="inlineStr">
        <is>
          <t>Sanitary / plumbing</t>
        </is>
      </c>
      <c r="E21" s="4" t="n">
        <v>1.9</v>
      </c>
      <c r="F21" s="4" t="n">
        <v>1.9</v>
      </c>
      <c r="G21" s="4" t="n">
        <v>1</v>
      </c>
      <c r="H21" s="4" t="inlineStr">
        <is>
          <t>Kadappa / granite, SS sink</t>
        </is>
      </c>
      <c r="I21" s="10" t="n"/>
      <c r="J21" s="11">
        <f>G21*I21</f>
        <v/>
      </c>
      <c r="K21" s="8" t="inlineStr"/>
      <c r="L21" s="8" t="inlineStr"/>
    </row>
    <row r="22">
      <c r="A22" s="4" t="inlineStr">
        <is>
          <t>F62</t>
        </is>
      </c>
      <c r="B22" s="4" t="inlineStr">
        <is>
          <t>Wet area</t>
        </is>
      </c>
      <c r="C22" s="4" t="inlineStr">
        <is>
          <t>Dish-drying rack over the utility sink: steel rods, drip tray draining into the sink</t>
        </is>
      </c>
      <c r="D22" s="4" t="inlineStr">
        <is>
          <t>Sanitary / plumbing</t>
        </is>
      </c>
      <c r="E22" s="4" t="n">
        <v>1.7</v>
      </c>
      <c r="F22" s="4" t="n">
        <v>0.75</v>
      </c>
      <c r="G22" s="4" t="n">
        <v>1</v>
      </c>
      <c r="H22" s="4" t="inlineStr">
        <is>
          <t>SS 304</t>
        </is>
      </c>
      <c r="I22" s="10" t="n"/>
      <c r="J22" s="11">
        <f>G22*I22</f>
        <v/>
      </c>
      <c r="K22" s="8" t="inlineStr"/>
      <c r="L22" s="8" t="inlineStr"/>
    </row>
    <row r="23">
      <c r="A23" s="4" t="inlineStr">
        <is>
          <t>F30</t>
        </is>
      </c>
      <c r="B23" s="4" t="inlineStr">
        <is>
          <t>Wet area</t>
        </is>
      </c>
      <c r="C23" s="4" t="inlineStr">
        <is>
          <t>Washing machine bay 2' x 2' (on the store wall)</t>
        </is>
      </c>
      <c r="D23" s="4" t="inlineStr">
        <is>
          <t>Appliance / joinery</t>
        </is>
      </c>
      <c r="E23" s="4" t="n">
        <v>1.9</v>
      </c>
      <c r="F23" s="4" t="n">
        <v>1.7</v>
      </c>
      <c r="G23" s="4" t="n">
        <v>1</v>
      </c>
      <c r="H23" s="4" t="inlineStr">
        <is>
          <t>Splash-proof socket, floor drain</t>
        </is>
      </c>
      <c r="I23" s="10" t="n"/>
      <c r="J23" s="11">
        <f>G23*I23</f>
        <v/>
      </c>
      <c r="K23" s="8" t="inlineStr"/>
      <c r="L23" s="8" t="inlineStr"/>
    </row>
    <row r="24">
      <c r="A24" s="4" t="inlineStr">
        <is>
          <t>F61</t>
        </is>
      </c>
      <c r="B24" s="4" t="inlineStr">
        <is>
          <t>Wet area</t>
        </is>
      </c>
      <c r="C24" s="4" t="inlineStr">
        <is>
          <t>Ceiling clothes airer on pulleys (lower to load, raise to dry)</t>
        </is>
      </c>
      <c r="D24" s="4" t="inlineStr">
        <is>
          <t>Built-in joinery</t>
        </is>
      </c>
      <c r="E24" s="4" t="n">
        <v>5.8</v>
      </c>
      <c r="F24" s="4" t="n">
        <v>1.3</v>
      </c>
      <c r="G24" s="4" t="n">
        <v>1</v>
      </c>
      <c r="H24" s="4" t="inlineStr">
        <is>
          <t>Aluminium rails, nylon rope, cleat on the wall</t>
        </is>
      </c>
      <c r="I24" s="10" t="n"/>
      <c r="J24" s="11">
        <f>G24*I24</f>
        <v/>
      </c>
      <c r="K24" s="8" t="inlineStr"/>
      <c r="L24" s="8" t="inlineStr"/>
    </row>
    <row r="25">
      <c r="A25" s="4" t="inlineStr">
        <is>
          <t>F31</t>
        </is>
      </c>
      <c r="B25" s="4" t="inlineStr">
        <is>
          <t>Wet area</t>
        </is>
      </c>
      <c r="C25" s="4" t="inlineStr">
        <is>
          <t>Fold-away clothesline in the south walkway behind the master</t>
        </is>
      </c>
      <c r="D25" s="4" t="inlineStr">
        <is>
          <t>Loose furniture</t>
        </is>
      </c>
      <c r="E25" s="4" t="n">
        <v>10</v>
      </c>
      <c r="F25" s="4" t="n">
        <v>1.8</v>
      </c>
      <c r="G25" s="4" t="n">
        <v>1</v>
      </c>
      <c r="H25" s="4" t="inlineStr">
        <is>
          <t>SS wire, wall brackets</t>
        </is>
      </c>
      <c r="I25" s="10" t="n"/>
      <c r="J25" s="11">
        <f>G25*I25</f>
        <v/>
      </c>
      <c r="K25" s="8" t="inlineStr"/>
      <c r="L25" s="8" t="inlineStr"/>
    </row>
    <row r="26">
      <c r="A26" s="4" t="inlineStr">
        <is>
          <t>F34</t>
        </is>
      </c>
      <c r="B26" s="4" t="inlineStr">
        <is>
          <t>Kitchen</t>
        </is>
      </c>
      <c r="C26" s="4" t="inlineStr">
        <is>
          <t>L-counter, south run: deep drawers for vessels instead of shutters</t>
        </is>
      </c>
      <c r="D26" s="4" t="inlineStr">
        <is>
          <t>Built-in joinery</t>
        </is>
      </c>
      <c r="E26" s="4" t="n">
        <v>11.2</v>
      </c>
      <c r="F26" s="4" t="n">
        <v>2</v>
      </c>
      <c r="G26" s="4" t="n">
        <v>1</v>
      </c>
      <c r="H26" s="4" t="inlineStr">
        <is>
          <t>Granite top, ply carcass</t>
        </is>
      </c>
      <c r="I26" s="10" t="n"/>
      <c r="J26" s="11">
        <f>G26*I26</f>
        <v/>
      </c>
      <c r="K26" s="8" t="inlineStr"/>
      <c r="L26" s="8" t="inlineStr"/>
    </row>
    <row r="27">
      <c r="A27" s="4" t="inlineStr">
        <is>
          <t>F60</t>
        </is>
      </c>
      <c r="B27" s="4" t="inlineStr">
        <is>
          <t>Kitchen</t>
        </is>
      </c>
      <c r="C27" s="4" t="inlineStr">
        <is>
          <t>Utensil rail with hooks beside the hob (ladles, tongs, strainers)</t>
        </is>
      </c>
      <c r="D27" s="4" t="inlineStr">
        <is>
          <t>Loose furniture</t>
        </is>
      </c>
      <c r="E27" s="4" t="n">
        <v>1.7</v>
      </c>
      <c r="F27" s="4" t="n">
        <v>0.15</v>
      </c>
      <c r="G27" s="4" t="n">
        <v>1</v>
      </c>
      <c r="H27" s="4" t="inlineStr">
        <is>
          <t>SS rail and S-hooks</t>
        </is>
      </c>
      <c r="I27" s="10" t="n"/>
      <c r="J27" s="11">
        <f>G27*I27</f>
        <v/>
      </c>
      <c r="K27" s="8" t="inlineStr"/>
      <c r="L27" s="8" t="inlineStr"/>
    </row>
    <row r="28">
      <c r="A28" s="4" t="inlineStr">
        <is>
          <t>F35</t>
        </is>
      </c>
      <c r="B28" s="4" t="inlineStr">
        <is>
          <t>Kitchen</t>
        </is>
      </c>
      <c r="C28" s="4" t="inlineStr">
        <is>
          <t>L-counter, east run (hob centred 7'-6" from the south wall face, on solid wall; pull-out masala drawer beside the hob)</t>
        </is>
      </c>
      <c r="D28" s="4" t="inlineStr">
        <is>
          <t>Built-in joinery</t>
        </is>
      </c>
      <c r="E28" s="4" t="n">
        <v>2</v>
      </c>
      <c r="F28" s="4" t="n">
        <v>6.5</v>
      </c>
      <c r="G28" s="4" t="n">
        <v>1</v>
      </c>
      <c r="H28" s="4" t="inlineStr">
        <is>
          <t>Granite top, cook faces east</t>
        </is>
      </c>
      <c r="I28" s="10" t="n"/>
      <c r="J28" s="11">
        <f>G28*I28</f>
        <v/>
      </c>
      <c r="K28" s="8" t="inlineStr"/>
      <c r="L28" s="8" t="inlineStr"/>
    </row>
    <row r="29">
      <c r="A29" s="4" t="inlineStr">
        <is>
          <t>F36</t>
        </is>
      </c>
      <c r="B29" s="4" t="inlineStr">
        <is>
          <t>Kitchen</t>
        </is>
      </c>
      <c r="C29" s="4" t="inlineStr">
        <is>
          <t>Refrigerator space on the north wall, clear of the entry door</t>
        </is>
      </c>
      <c r="D29" s="4" t="inlineStr">
        <is>
          <t>Appliance / joinery</t>
        </is>
      </c>
      <c r="E29" s="4" t="n">
        <v>2.5</v>
      </c>
      <c r="F29" s="4" t="n">
        <v>2.2</v>
      </c>
      <c r="G29" s="4" t="n">
        <v>1</v>
      </c>
      <c r="H29" s="4" t="inlineStr">
        <is>
          <t>Double-door, 2'6" wide</t>
        </is>
      </c>
      <c r="I29" s="10" t="n"/>
      <c r="J29" s="11">
        <f>G29*I29</f>
        <v/>
      </c>
      <c r="K29" s="8" t="inlineStr"/>
      <c r="L29" s="8" t="inlineStr"/>
    </row>
    <row r="30">
      <c r="A30" s="4" t="inlineStr">
        <is>
          <t>F53</t>
        </is>
      </c>
      <c r="B30" s="4" t="inlineStr">
        <is>
          <t>Living</t>
        </is>
      </c>
      <c r="C30" s="4" t="inlineStr">
        <is>
          <t>TV unit 4'-3" on the stair wall (west wall of the living), 50 in TV above</t>
        </is>
      </c>
      <c r="D30" s="4" t="inlineStr">
        <is>
          <t>Appliance / joinery</t>
        </is>
      </c>
      <c r="E30" s="4" t="n">
        <v>1.3</v>
      </c>
      <c r="F30" s="4" t="n">
        <v>4.3</v>
      </c>
      <c r="G30" s="4" t="n">
        <v>1</v>
      </c>
      <c r="H30" s="4" t="inlineStr">
        <is>
          <t>Teak, low, open shelves</t>
        </is>
      </c>
      <c r="I30" s="10" t="n"/>
      <c r="J30" s="11">
        <f>G30*I30</f>
        <v/>
      </c>
      <c r="K30" s="8" t="inlineStr"/>
      <c r="L30" s="8" t="inlineStr"/>
    </row>
    <row r="31">
      <c r="A31" s="4" t="inlineStr">
        <is>
          <t>F38</t>
        </is>
      </c>
      <c r="B31" s="4" t="inlineStr">
        <is>
          <t>Living</t>
        </is>
      </c>
      <c r="C31" s="4" t="inlineStr">
        <is>
          <t>Sofa 5' (2-3 seats) facing west to the TV about 6'-6" away</t>
        </is>
      </c>
      <c r="D31" s="4" t="inlineStr">
        <is>
          <t>Loose furniture</t>
        </is>
      </c>
      <c r="E31" s="4" t="n">
        <v>2.7</v>
      </c>
      <c r="F31" s="4" t="n">
        <v>5</v>
      </c>
      <c r="G31" s="4" t="n">
        <v>1</v>
      </c>
      <c r="H31" s="4" t="inlineStr">
        <is>
          <t>Teak frame, cotton cushions</t>
        </is>
      </c>
      <c r="I31" s="10" t="n"/>
      <c r="J31" s="11">
        <f>G31*I31</f>
        <v/>
      </c>
      <c r="K31" s="8" t="inlineStr"/>
      <c r="L31" s="8" t="inlineStr"/>
    </row>
    <row r="32">
      <c r="A32" s="4" t="inlineStr">
        <is>
          <t>F39</t>
        </is>
      </c>
      <c r="B32" s="4" t="inlineStr">
        <is>
          <t>Living</t>
        </is>
      </c>
      <c r="C32" s="4" t="inlineStr">
        <is>
          <t>Coffee table 3'2" x 2'</t>
        </is>
      </c>
      <c r="D32" s="4" t="inlineStr">
        <is>
          <t>Loose furniture</t>
        </is>
      </c>
      <c r="E32" s="4" t="n">
        <v>2</v>
      </c>
      <c r="F32" s="4" t="n">
        <v>3.2</v>
      </c>
      <c r="G32" s="4" t="n">
        <v>1</v>
      </c>
      <c r="H32" s="4" t="inlineStr">
        <is>
          <t>Teak</t>
        </is>
      </c>
      <c r="I32" s="10" t="n"/>
      <c r="J32" s="11">
        <f>G32*I32</f>
        <v/>
      </c>
      <c r="K32" s="8" t="inlineStr"/>
      <c r="L32" s="8" t="inlineStr"/>
    </row>
    <row r="33">
      <c r="A33" s="4" t="inlineStr">
        <is>
          <t>F59</t>
        </is>
      </c>
      <c r="B33" s="4" t="inlineStr">
        <is>
          <t>Living</t>
        </is>
      </c>
      <c r="C33" s="4" t="inlineStr">
        <is>
          <t>Vilakku madam: carved teak lamp niche with a light inside, on the wall facing the main door</t>
        </is>
      </c>
      <c r="D33" s="4" t="inlineStr">
        <is>
          <t>Loose furniture</t>
        </is>
      </c>
      <c r="E33" s="4" t="n">
        <v>0.34</v>
      </c>
      <c r="F33" s="4" t="n">
        <v>1.8</v>
      </c>
      <c r="G33" s="4" t="n">
        <v>1</v>
      </c>
      <c r="H33" s="4" t="inlineStr">
        <is>
          <t>Carved teak, brass lamp</t>
        </is>
      </c>
      <c r="I33" s="10" t="n"/>
      <c r="J33" s="11">
        <f>G33*I33</f>
        <v/>
      </c>
      <c r="K33" s="8" t="inlineStr"/>
      <c r="L33" s="8" t="inlineStr"/>
    </row>
    <row r="34">
      <c r="A34" s="4" t="inlineStr">
        <is>
          <t>F52</t>
        </is>
      </c>
      <c r="B34" s="4" t="inlineStr">
        <is>
          <t>Living</t>
        </is>
      </c>
      <c r="C34" s="4" t="inlineStr">
        <is>
          <t>Shoe bench 3'-3" (genkan idea): sit to take shoes off, louvred shoe shelves below, hooks and a keys niche above</t>
        </is>
      </c>
      <c r="D34" s="4" t="inlineStr">
        <is>
          <t>Loose furniture</t>
        </is>
      </c>
      <c r="E34" s="4" t="n">
        <v>1.2</v>
      </c>
      <c r="F34" s="4" t="n">
        <v>3.2</v>
      </c>
      <c r="G34" s="4" t="n">
        <v>1</v>
      </c>
      <c r="H34" s="4" t="inlineStr">
        <is>
          <t>Teak top, ply + laminate, 14 in deep</t>
        </is>
      </c>
      <c r="I34" s="10" t="n"/>
      <c r="J34" s="11">
        <f>G34*I34</f>
        <v/>
      </c>
      <c r="K34" s="8" t="inlineStr"/>
      <c r="L34" s="8" t="inlineStr"/>
    </row>
    <row r="35">
      <c r="A35" s="4" t="inlineStr">
        <is>
          <t>F26</t>
        </is>
      </c>
      <c r="B35" s="4" t="inlineStr">
        <is>
          <t>Pooja</t>
        </is>
      </c>
      <c r="C35" s="4" t="inlineStr">
        <is>
          <t>Pooja mandapam on the east wall (idols face west; family faces east)</t>
        </is>
      </c>
      <c r="D35" s="4" t="inlineStr">
        <is>
          <t>Built-in joinery</t>
        </is>
      </c>
      <c r="E35" s="4" t="n">
        <v>0.6</v>
      </c>
      <c r="F35" s="4" t="n">
        <v>3</v>
      </c>
      <c r="G35" s="4" t="n">
        <v>1</v>
      </c>
      <c r="H35" s="4" t="inlineStr">
        <is>
          <t>Carved teak</t>
        </is>
      </c>
      <c r="I35" s="10" t="n"/>
      <c r="J35" s="11">
        <f>G35*I35</f>
        <v/>
      </c>
      <c r="K35" s="8" t="inlineStr"/>
      <c r="L35" s="8" t="inlineStr"/>
    </row>
    <row r="36">
      <c r="A36" s="4" t="inlineStr">
        <is>
          <t>F41</t>
        </is>
      </c>
      <c r="B36" s="4" t="inlineStr">
        <is>
          <t>Poomukham (verandah)</t>
        </is>
      </c>
      <c r="C36" s="4" t="inlineStr">
        <is>
          <t>Oonjal (swing) 3'6", north side of the verandah, clear of the entrance</t>
        </is>
      </c>
      <c r="D36" s="4" t="inlineStr">
        <is>
          <t>Loose furniture</t>
        </is>
      </c>
      <c r="E36" s="4" t="n">
        <v>3.3</v>
      </c>
      <c r="F36" s="4" t="n">
        <v>1.5</v>
      </c>
      <c r="G36" s="4" t="n">
        <v>1</v>
      </c>
      <c r="H36" s="4" t="inlineStr">
        <is>
          <t>Teak, chains to beam</t>
        </is>
      </c>
      <c r="I36" s="10" t="n"/>
      <c r="J36" s="11">
        <f>G36*I36</f>
        <v/>
      </c>
      <c r="K36" s="8" t="inlineStr"/>
      <c r="L36" s="8" t="inlineStr"/>
    </row>
    <row r="37">
      <c r="A37" s="4" t="inlineStr">
        <is>
          <t>F42</t>
        </is>
      </c>
      <c r="B37" s="4" t="inlineStr">
        <is>
          <t>Poomukham (verandah)</t>
        </is>
      </c>
      <c r="C37" s="4" t="inlineStr">
        <is>
          <t>Charupadi: built-in teak seat with a sloping backrest between the pillars, south of the steps</t>
        </is>
      </c>
      <c r="D37" s="4" t="inlineStr">
        <is>
          <t>Loose furniture</t>
        </is>
      </c>
      <c r="E37" s="4" t="n">
        <v>1.3</v>
      </c>
      <c r="F37" s="4" t="n">
        <v>2.3</v>
      </c>
      <c r="G37" s="4" t="n">
        <v>1</v>
      </c>
      <c r="H37" s="4" t="inlineStr">
        <is>
          <t>Laterite base, teak seat and backrest</t>
        </is>
      </c>
      <c r="I37" s="10" t="n"/>
      <c r="J37" s="11">
        <f>G37*I37</f>
        <v/>
      </c>
      <c r="K37" s="8" t="inlineStr"/>
      <c r="L37" s="8" t="inlineStr"/>
    </row>
    <row r="38">
      <c r="A38" s="4" t="inlineStr">
        <is>
          <t>F69</t>
        </is>
      </c>
      <c r="B38" s="4" t="inlineStr">
        <is>
          <t>Poomukham (verandah)</t>
        </is>
      </c>
      <c r="C38" s="4" t="inlineStr">
        <is>
          <t>Charupadi: built-in teak seat with a sloping backrest between the pillars, north of the steps</t>
        </is>
      </c>
      <c r="D38" s="4" t="inlineStr">
        <is>
          <t>Loose furniture</t>
        </is>
      </c>
      <c r="E38" s="4" t="n">
        <v>1.3</v>
      </c>
      <c r="F38" s="4" t="n">
        <v>1.9</v>
      </c>
      <c r="G38" s="4" t="n">
        <v>1</v>
      </c>
      <c r="H38" s="4" t="inlineStr">
        <is>
          <t>Laterite base, teak seat and backrest</t>
        </is>
      </c>
      <c r="I38" s="10" t="n"/>
      <c r="J38" s="11">
        <f>G38*I38</f>
        <v/>
      </c>
      <c r="K38" s="8" t="inlineStr"/>
      <c r="L38" s="8" t="inlineStr"/>
    </row>
    <row r="39">
      <c r="A39" s="4" t="inlineStr">
        <is>
          <t>F71</t>
        </is>
      </c>
      <c r="B39" s="4" t="inlineStr">
        <is>
          <t>Upper master bedroom</t>
        </is>
      </c>
      <c r="C39" s="4" t="inlineStr">
        <is>
          <t>King bed 6' x 6'6" + headboard, head to the west wall (kept solid against the afternoon sun)</t>
        </is>
      </c>
      <c r="D39" s="4" t="inlineStr">
        <is>
          <t>Loose furniture</t>
        </is>
      </c>
      <c r="E39" s="4" t="n">
        <v>6.6</v>
      </c>
      <c r="F39" s="4" t="n">
        <v>6</v>
      </c>
      <c r="G39" s="4" t="n">
        <v>1</v>
      </c>
      <c r="H39" s="4" t="inlineStr">
        <is>
          <t>Teak</t>
        </is>
      </c>
      <c r="I39" s="10" t="n"/>
      <c r="J39" s="11">
        <f>G39*I39</f>
        <v/>
      </c>
      <c r="K39" s="8" t="inlineStr"/>
      <c r="L39" s="8" t="inlineStr"/>
    </row>
    <row r="40">
      <c r="A40" s="4" t="inlineStr">
        <is>
          <t>F72</t>
        </is>
      </c>
      <c r="B40" s="4" t="inlineStr">
        <is>
          <t>Upper master bedroom</t>
        </is>
      </c>
      <c r="C40" s="4" t="inlineStr">
        <is>
          <t>Floating bedside shelf with a drawer, reading light and charging point above</t>
        </is>
      </c>
      <c r="D40" s="4" t="inlineStr">
        <is>
          <t>Loose furniture</t>
        </is>
      </c>
      <c r="E40" s="4" t="n">
        <v>1</v>
      </c>
      <c r="F40" s="4" t="n">
        <v>1</v>
      </c>
      <c r="G40" s="4" t="n">
        <v>2</v>
      </c>
      <c r="H40" s="4" t="inlineStr">
        <is>
          <t>Teak, wall-hung</t>
        </is>
      </c>
      <c r="I40" s="10" t="n"/>
      <c r="J40" s="11">
        <f>G40*I40</f>
        <v/>
      </c>
      <c r="K40" s="8" t="inlineStr"/>
      <c r="L40" s="8" t="inlineStr"/>
    </row>
    <row r="41">
      <c r="A41" s="4" t="inlineStr">
        <is>
          <t>F73</t>
        </is>
      </c>
      <c r="B41" s="4" t="inlineStr">
        <is>
          <t>Upper master bedroom</t>
        </is>
      </c>
      <c r="C41" s="4" t="inlineStr">
        <is>
          <t>Reading chair by the south window</t>
        </is>
      </c>
      <c r="D41" s="4" t="inlineStr">
        <is>
          <t>Loose furniture</t>
        </is>
      </c>
      <c r="E41" s="4" t="n">
        <v>1.8</v>
      </c>
      <c r="F41" s="4" t="n">
        <v>1.8</v>
      </c>
      <c r="G41" s="4" t="n">
        <v>1</v>
      </c>
      <c r="H41" s="4" t="inlineStr">
        <is>
          <t>Cane / upholstered</t>
        </is>
      </c>
      <c r="I41" s="10" t="n"/>
      <c r="J41" s="11">
        <f>G41*I41</f>
        <v/>
      </c>
      <c r="K41" s="8" t="inlineStr"/>
      <c r="L41" s="8" t="inlineStr"/>
    </row>
    <row r="42">
      <c r="A42" s="4" t="inlineStr">
        <is>
          <t>F75</t>
        </is>
      </c>
      <c r="B42" s="4" t="inlineStr">
        <is>
          <t>Dressing</t>
        </is>
      </c>
      <c r="C42" s="4" t="inlineStr">
        <is>
          <t>Built-in wardrobes 5'-10", full height, lofts above (north wall)</t>
        </is>
      </c>
      <c r="D42" s="4" t="inlineStr">
        <is>
          <t>Built-in joinery</t>
        </is>
      </c>
      <c r="E42" s="4" t="n">
        <v>5.8</v>
      </c>
      <c r="F42" s="4" t="n">
        <v>1.7</v>
      </c>
      <c r="G42" s="4" t="n">
        <v>1</v>
      </c>
      <c r="H42" s="4" t="inlineStr">
        <is>
          <t>Ply + laminate</t>
        </is>
      </c>
      <c r="I42" s="10" t="n"/>
      <c r="J42" s="11">
        <f>G42*I42</f>
        <v/>
      </c>
      <c r="K42" s="8" t="inlineStr"/>
      <c r="L42" s="8" t="inlineStr"/>
    </row>
    <row r="43">
      <c r="A43" s="4" t="inlineStr">
        <is>
          <t>F76</t>
        </is>
      </c>
      <c r="B43" s="4" t="inlineStr">
        <is>
          <t>Dressing</t>
        </is>
      </c>
      <c r="C43" s="4" t="inlineStr">
        <is>
          <t>Dresser with drawers (south wall, under the high window)</t>
        </is>
      </c>
      <c r="D43" s="4" t="inlineStr">
        <is>
          <t>Loose furniture</t>
        </is>
      </c>
      <c r="E43" s="4" t="n">
        <v>3</v>
      </c>
      <c r="F43" s="4" t="n">
        <v>0.8</v>
      </c>
      <c r="G43" s="4" t="n">
        <v>1</v>
      </c>
      <c r="H43" s="4" t="inlineStr">
        <is>
          <t>Teak</t>
        </is>
      </c>
      <c r="I43" s="10" t="n"/>
      <c r="J43" s="11">
        <f>G43*I43</f>
        <v/>
      </c>
      <c r="K43" s="8" t="inlineStr"/>
      <c r="L43" s="8" t="inlineStr"/>
    </row>
    <row r="44">
      <c r="A44" s="4" t="inlineStr">
        <is>
          <t>F77</t>
        </is>
      </c>
      <c r="B44" s="4" t="inlineStr">
        <is>
          <t>Upper master bath</t>
        </is>
      </c>
      <c r="C44" s="4" t="inlineStr">
        <is>
          <t>WC (EWC) on the east wall</t>
        </is>
      </c>
      <c r="D44" s="4" t="inlineStr">
        <is>
          <t>Sanitary / plumbing</t>
        </is>
      </c>
      <c r="E44" s="4" t="n">
        <v>1.6</v>
      </c>
      <c r="F44" s="4" t="n">
        <v>1.2</v>
      </c>
      <c r="G44" s="4" t="n">
        <v>1</v>
      </c>
      <c r="H44" s="4" t="inlineStr">
        <is>
          <t>Wall-hung, concealed cistern</t>
        </is>
      </c>
      <c r="I44" s="10" t="n"/>
      <c r="J44" s="11">
        <f>G44*I44</f>
        <v/>
      </c>
      <c r="K44" s="8" t="inlineStr"/>
      <c r="L44" s="8" t="inlineStr"/>
    </row>
    <row r="45">
      <c r="A45" s="4" t="inlineStr">
        <is>
          <t>F78</t>
        </is>
      </c>
      <c r="B45" s="4" t="inlineStr">
        <is>
          <t>Upper master bath</t>
        </is>
      </c>
      <c r="C45" s="4" t="inlineStr">
        <is>
          <t>Wash basin with a mirror cabinet above</t>
        </is>
      </c>
      <c r="D45" s="4" t="inlineStr">
        <is>
          <t>Sanitary / plumbing</t>
        </is>
      </c>
      <c r="E45" s="4" t="n">
        <v>0.7</v>
      </c>
      <c r="F45" s="4" t="n">
        <v>1.2</v>
      </c>
      <c r="G45" s="4" t="n">
        <v>1</v>
      </c>
      <c r="H45" s="4" t="inlineStr">
        <is>
          <t>Wall-hung</t>
        </is>
      </c>
      <c r="I45" s="10" t="n"/>
      <c r="J45" s="11">
        <f>G45*I45</f>
        <v/>
      </c>
      <c r="K45" s="8" t="inlineStr"/>
      <c r="L45" s="8" t="inlineStr"/>
    </row>
    <row r="46">
      <c r="A46" s="4" t="inlineStr">
        <is>
          <t>F79</t>
        </is>
      </c>
      <c r="B46" s="4" t="inlineStr">
        <is>
          <t>Upper master bath</t>
        </is>
      </c>
      <c r="C46" s="4" t="inlineStr">
        <is>
          <t>Shower glass partition (shower across the north end)</t>
        </is>
      </c>
      <c r="D46" s="4" t="inlineStr">
        <is>
          <t>Sanitary / plumbing</t>
        </is>
      </c>
      <c r="E46" s="4" t="n">
        <v>2.5</v>
      </c>
      <c r="F46" s="4" t="n">
        <v>0.15</v>
      </c>
      <c r="G46" s="4" t="n">
        <v>1</v>
      </c>
      <c r="H46" s="4" t="inlineStr">
        <is>
          <t>8 mm toughened glass</t>
        </is>
      </c>
      <c r="I46" s="10" t="n"/>
      <c r="J46" s="11">
        <f>G46*I46</f>
        <v/>
      </c>
      <c r="K46" s="8" t="inlineStr"/>
      <c r="L46" s="8" t="inlineStr"/>
    </row>
    <row r="47">
      <c r="A47" s="4" t="inlineStr">
        <is>
          <t>F90</t>
        </is>
      </c>
      <c r="B47" s="4" t="inlineStr">
        <is>
          <t>Sitting and study (upper master)</t>
        </is>
      </c>
      <c r="C47" s="4" t="inlineStr">
        <is>
          <t>Built-in wardrobe 6' as a part divider between the sleeping and sitting zones, lofts above</t>
        </is>
      </c>
      <c r="D47" s="4" t="inlineStr">
        <is>
          <t>Built-in joinery</t>
        </is>
      </c>
      <c r="E47" s="4" t="n">
        <v>6</v>
      </c>
      <c r="F47" s="4" t="n">
        <v>2</v>
      </c>
      <c r="G47" s="4" t="n">
        <v>1</v>
      </c>
      <c r="H47" s="4" t="inlineStr">
        <is>
          <t>Ply + laminate, 2 ft deep</t>
        </is>
      </c>
      <c r="I47" s="10" t="n"/>
      <c r="J47" s="11">
        <f>G47*I47</f>
        <v/>
      </c>
      <c r="K47" s="8" t="inlineStr"/>
      <c r="L47" s="8" t="inlineStr"/>
    </row>
    <row r="48">
      <c r="A48" s="4" t="inlineStr">
        <is>
          <t>F91</t>
        </is>
      </c>
      <c r="B48" s="4" t="inlineStr">
        <is>
          <t>Sitting and study (upper master)</t>
        </is>
      </c>
      <c r="C48" s="4" t="inlineStr">
        <is>
          <t>Work desk 4' x 2' on the west wall (north window to the side)</t>
        </is>
      </c>
      <c r="D48" s="4" t="inlineStr">
        <is>
          <t>Loose furniture</t>
        </is>
      </c>
      <c r="E48" s="4" t="n">
        <v>2</v>
      </c>
      <c r="F48" s="4" t="n">
        <v>4</v>
      </c>
      <c r="G48" s="4" t="n">
        <v>1</v>
      </c>
      <c r="H48" s="4" t="inlineStr">
        <is>
          <t>Teak / ply, cable tray</t>
        </is>
      </c>
      <c r="I48" s="10" t="n"/>
      <c r="J48" s="11">
        <f>G48*I48</f>
        <v/>
      </c>
      <c r="K48" s="8" t="inlineStr"/>
      <c r="L48" s="8" t="inlineStr"/>
    </row>
    <row r="49">
      <c r="A49" s="4" t="inlineStr">
        <is>
          <t>F94</t>
        </is>
      </c>
      <c r="B49" s="4" t="inlineStr">
        <is>
          <t>Sitting and study (upper master)</t>
        </is>
      </c>
      <c r="C49" s="4" t="inlineStr">
        <is>
          <t>Window diwan 5' under the north window, drawers below</t>
        </is>
      </c>
      <c r="D49" s="4" t="inlineStr">
        <is>
          <t>Loose furniture</t>
        </is>
      </c>
      <c r="E49" s="4" t="n">
        <v>5</v>
      </c>
      <c r="F49" s="4" t="n">
        <v>1.7</v>
      </c>
      <c r="G49" s="4" t="n">
        <v>1</v>
      </c>
      <c r="H49" s="4" t="inlineStr">
        <is>
          <t>Teak, cotton cushions</t>
        </is>
      </c>
      <c r="I49" s="10" t="n"/>
      <c r="J49" s="11">
        <f>G49*I49</f>
        <v/>
      </c>
      <c r="K49" s="8" t="inlineStr"/>
      <c r="L49" s="8" t="inlineStr"/>
    </row>
    <row r="50">
      <c r="A50" s="4" t="inlineStr">
        <is>
          <t>F93</t>
        </is>
      </c>
      <c r="B50" s="4" t="inlineStr">
        <is>
          <t>Sitting and study (upper master)</t>
        </is>
      </c>
      <c r="C50" s="4" t="inlineStr">
        <is>
          <t>Reading chair</t>
        </is>
      </c>
      <c r="D50" s="4" t="inlineStr">
        <is>
          <t>Loose furniture</t>
        </is>
      </c>
      <c r="E50" s="4" t="n">
        <v>1.8</v>
      </c>
      <c r="F50" s="4" t="n">
        <v>1.8</v>
      </c>
      <c r="G50" s="4" t="n">
        <v>1</v>
      </c>
      <c r="H50" s="4" t="inlineStr">
        <is>
          <t>Cane / upholstered</t>
        </is>
      </c>
      <c r="I50" s="10" t="n"/>
      <c r="J50" s="11">
        <f>G50*I50</f>
        <v/>
      </c>
      <c r="K50" s="8" t="inlineStr"/>
      <c r="L50" s="8" t="inlineStr"/>
    </row>
    <row r="51">
      <c r="A51" s="4" t="inlineStr">
        <is>
          <t>F95</t>
        </is>
      </c>
      <c r="B51" s="4" t="inlineStr">
        <is>
          <t>Sitting and study (upper master)</t>
        </is>
      </c>
      <c r="C51" s="4" t="inlineStr">
        <is>
          <t>Open bookshelf on the passage wall</t>
        </is>
      </c>
      <c r="D51" s="4" t="inlineStr">
        <is>
          <t>Built-in joinery</t>
        </is>
      </c>
      <c r="E51" s="4" t="n">
        <v>1.2</v>
      </c>
      <c r="F51" s="4" t="n">
        <v>4</v>
      </c>
      <c r="G51" s="4" t="n">
        <v>1</v>
      </c>
      <c r="H51" s="4" t="inlineStr">
        <is>
          <t>Teak / ply, open shelves</t>
        </is>
      </c>
      <c r="I51" s="10" t="n"/>
      <c r="J51" s="11">
        <f>G51*I51</f>
        <v/>
      </c>
      <c r="K51" s="8" t="inlineStr"/>
      <c r="L51" s="8" t="inlineStr"/>
    </row>
    <row r="52">
      <c r="A52" s="4" t="inlineStr">
        <is>
          <t>F83</t>
        </is>
      </c>
      <c r="B52" s="4" t="inlineStr">
        <is>
          <t>Upper passage</t>
        </is>
      </c>
      <c r="C52" s="4" t="inlineStr">
        <is>
          <t>Open bookshelf at the end of the passage (reading nook)</t>
        </is>
      </c>
      <c r="D52" s="4" t="inlineStr">
        <is>
          <t>Built-in joinery</t>
        </is>
      </c>
      <c r="E52" s="4" t="n">
        <v>1.2</v>
      </c>
      <c r="F52" s="4" t="n">
        <v>4.6</v>
      </c>
      <c r="G52" s="4" t="n">
        <v>1</v>
      </c>
      <c r="H52" s="4" t="inlineStr">
        <is>
          <t>Teak / ply, open shelves</t>
        </is>
      </c>
      <c r="I52" s="10" t="n"/>
      <c r="J52" s="11">
        <f>G52*I52</f>
        <v/>
      </c>
      <c r="K52" s="8" t="inlineStr"/>
      <c r="L52" s="8" t="inlineStr"/>
    </row>
    <row r="53">
      <c r="A53" s="4" t="inlineStr">
        <is>
          <t>F84</t>
        </is>
      </c>
      <c r="B53" s="4" t="inlineStr">
        <is>
          <t>Covered terrace</t>
        </is>
      </c>
      <c r="C53" s="4" t="inlineStr">
        <is>
          <t>Built-in diwan 6' against the stair wall (cushions, bolsters, storage below)</t>
        </is>
      </c>
      <c r="D53" s="4" t="inlineStr">
        <is>
          <t>Loose furniture</t>
        </is>
      </c>
      <c r="E53" s="4" t="n">
        <v>2</v>
      </c>
      <c r="F53" s="4" t="n">
        <v>6</v>
      </c>
      <c r="G53" s="4" t="n">
        <v>1</v>
      </c>
      <c r="H53" s="4" t="inlineStr">
        <is>
          <t>Teak, weatherproof cushions</t>
        </is>
      </c>
      <c r="I53" s="10" t="n"/>
      <c r="J53" s="11">
        <f>G53*I53</f>
        <v/>
      </c>
      <c r="K53" s="8" t="inlineStr"/>
      <c r="L53" s="8" t="inlineStr"/>
    </row>
    <row r="54">
      <c r="A54" s="4" t="inlineStr">
        <is>
          <t>F85</t>
        </is>
      </c>
      <c r="B54" s="4" t="inlineStr">
        <is>
          <t>Covered terrace</t>
        </is>
      </c>
      <c r="C54" s="4" t="inlineStr">
        <is>
          <t>Low coffee table</t>
        </is>
      </c>
      <c r="D54" s="4" t="inlineStr">
        <is>
          <t>Loose furniture</t>
        </is>
      </c>
      <c r="E54" s="4" t="n">
        <v>2.5</v>
      </c>
      <c r="F54" s="4" t="n">
        <v>3</v>
      </c>
      <c r="G54" s="4" t="n">
        <v>1</v>
      </c>
      <c r="H54" s="4" t="inlineStr">
        <is>
          <t>Teak</t>
        </is>
      </c>
      <c r="I54" s="10" t="n"/>
      <c r="J54" s="11">
        <f>G54*I54</f>
        <v/>
      </c>
      <c r="K54" s="8" t="inlineStr"/>
      <c r="L54" s="8" t="inlineStr"/>
    </row>
    <row r="55">
      <c r="A55" s="4" t="inlineStr">
        <is>
          <t>F86</t>
        </is>
      </c>
      <c r="B55" s="4" t="inlineStr">
        <is>
          <t>Covered terrace</t>
        </is>
      </c>
      <c r="C55" s="4" t="inlineStr">
        <is>
          <t>Cane armchair</t>
        </is>
      </c>
      <c r="D55" s="4" t="inlineStr">
        <is>
          <t>Loose furniture</t>
        </is>
      </c>
      <c r="E55" s="4" t="n">
        <v>1.8</v>
      </c>
      <c r="F55" s="4" t="n">
        <v>1.8</v>
      </c>
      <c r="G55" s="4" t="n">
        <v>1</v>
      </c>
      <c r="H55" s="4" t="inlineStr">
        <is>
          <t>Cane</t>
        </is>
      </c>
      <c r="I55" s="10" t="n"/>
      <c r="J55" s="11">
        <f>G55*I55</f>
        <v/>
      </c>
      <c r="K55" s="8" t="inlineStr"/>
      <c r="L55" s="8" t="inlineStr"/>
    </row>
    <row r="56">
      <c r="A56" s="4" t="inlineStr">
        <is>
          <t>F87</t>
        </is>
      </c>
      <c r="B56" s="4" t="inlineStr">
        <is>
          <t>Covered terrace</t>
        </is>
      </c>
      <c r="C56" s="4" t="inlineStr">
        <is>
          <t>Cane armchair</t>
        </is>
      </c>
      <c r="D56" s="4" t="inlineStr">
        <is>
          <t>Loose furniture</t>
        </is>
      </c>
      <c r="E56" s="4" t="n">
        <v>1.8</v>
      </c>
      <c r="F56" s="4" t="n">
        <v>1.8</v>
      </c>
      <c r="G56" s="4" t="n">
        <v>1</v>
      </c>
      <c r="H56" s="4" t="inlineStr">
        <is>
          <t>Cane</t>
        </is>
      </c>
      <c r="I56" s="10" t="n"/>
      <c r="J56" s="11">
        <f>G56*I56</f>
        <v/>
      </c>
      <c r="K56" s="8" t="inlineStr"/>
      <c r="L56" s="8" t="inlineStr"/>
    </row>
    <row r="57">
      <c r="A57" s="4" t="inlineStr">
        <is>
          <t>F88</t>
        </is>
      </c>
      <c r="B57" s="4" t="inlineStr">
        <is>
          <t>Covered terrace</t>
        </is>
      </c>
      <c r="C57" s="4" t="inlineStr">
        <is>
          <t>Clothes-drying rails hung from the steel frame (dry in the monsoon, out of sight from the road)</t>
        </is>
      </c>
      <c r="D57" s="4" t="inlineStr">
        <is>
          <t>Loose furniture</t>
        </is>
      </c>
      <c r="E57" s="4" t="n">
        <v>9</v>
      </c>
      <c r="F57" s="4" t="n">
        <v>2.5</v>
      </c>
      <c r="G57" s="4" t="n">
        <v>1</v>
      </c>
      <c r="H57" s="4" t="inlineStr">
        <is>
          <t>Aluminium rails on pulleys</t>
        </is>
      </c>
      <c r="I57" s="10" t="n"/>
      <c r="J57" s="11">
        <f>G57*I57</f>
        <v/>
      </c>
      <c r="K57" s="8" t="inlineStr"/>
      <c r="L57" s="8" t="inlineStr"/>
    </row>
    <row r="58">
      <c r="A58" s="4" t="inlineStr">
        <is>
          <t>F89</t>
        </is>
      </c>
      <c r="B58" s="4" t="inlineStr">
        <is>
          <t>Covered terrace</t>
        </is>
      </c>
      <c r="C58" s="4" t="inlineStr">
        <is>
          <t>Planter boxes along the east railing</t>
        </is>
      </c>
      <c r="D58" s="4" t="inlineStr">
        <is>
          <t>Loose furniture</t>
        </is>
      </c>
      <c r="E58" s="4" t="n">
        <v>1.2</v>
      </c>
      <c r="F58" s="4" t="n">
        <v>11</v>
      </c>
      <c r="G58" s="4" t="n">
        <v>1</v>
      </c>
      <c r="H58" s="4" t="inlineStr">
        <is>
          <t>Ferrocement, drained to the terrace drain</t>
        </is>
      </c>
      <c r="I58" s="10" t="n"/>
      <c r="J58" s="11">
        <f>G58*I58</f>
        <v/>
      </c>
      <c r="K58" s="8" t="inlineStr"/>
      <c r="L58" s="8" t="inlineStr"/>
    </row>
    <row r="59">
      <c r="A59" s="6" t="inlineStr"/>
      <c r="B59" s="6" t="inlineStr"/>
      <c r="C59" s="6" t="inlineStr">
        <is>
          <t>Total</t>
        </is>
      </c>
      <c r="D59" s="6" t="inlineStr"/>
      <c r="E59" s="6" t="inlineStr"/>
      <c r="F59" s="6" t="inlineStr"/>
      <c r="G59" s="6">
        <f>SUM(G2:G58)</f>
        <v/>
      </c>
      <c r="H59" s="6" t="inlineStr"/>
      <c r="I59" s="12" t="inlineStr"/>
      <c r="J59" s="12">
        <f>SUM(J2:J58)</f>
        <v/>
      </c>
      <c r="K59" s="6" t="inlineStr"/>
      <c r="L59"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t>
        </is>
      </c>
      <c r="B2" s="4" t="inlineStr">
        <is>
          <t>Red oxide (IPS) or polished Kota / Tandur stone</t>
        </is>
      </c>
      <c r="C2" s="4" t="inlineStr">
        <is>
          <t>4 in flush skirting in floor stone; lime-finish or mineral paint</t>
        </is>
      </c>
      <c r="D2" s="4" t="inlineStr">
        <is>
          <t>RCC slab soffit at 9'-5", plastered (the covered terrace above keeps it shaded)</t>
        </is>
      </c>
      <c r="E2" s="4" t="inlineStr">
        <is>
          <t>Stone hides dust better than glossy white tile</t>
        </is>
      </c>
      <c r="F2" s="8" t="inlineStr"/>
    </row>
    <row r="3">
      <c r="A3" s="4" t="inlineStr">
        <is>
          <t>Bedrooms, dressing</t>
        </is>
      </c>
      <c r="B3" s="4" t="inlineStr">
        <is>
          <t>Matt vitrified 2x2 ft or red oxide</t>
        </is>
      </c>
      <c r="C3" s="4" t="inlineStr">
        <is>
          <t>4 in flush skirting; putty + washable emulsion</t>
        </is>
      </c>
      <c r="D3" s="4" t="inlineStr">
        <is>
          <t>Ground floor: RCC slab soffit at 9'-5", plastered; first floor: false ceiling at 9'-6", 50 mm insulation above</t>
        </is>
      </c>
      <c r="E3" s="4" t="inlineStr">
        <is>
          <t>First-floor rooms sit under the roof: ventilated attic above the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 storage loft above</t>
        </is>
      </c>
      <c r="E5" s="4" t="inlineStr">
        <is>
          <t>Counter granite (local Ongole / Chimakurthy), 2 ft deep; deep drawers for vessels, pull-out masala drawer by the hob, utensil rail on the wall beside it</t>
        </is>
      </c>
      <c r="F5" s="8" t="inlineStr"/>
    </row>
    <row r="6">
      <c r="A6" s="4" t="inlineStr">
        <is>
          <t>Master bath, common bath, upper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 The upper bath sits over the common bath: waterproof the slab and flood-test it before tiling</t>
        </is>
      </c>
      <c r="F6" s="8" t="inlineStr"/>
    </row>
    <row r="7">
      <c r="A7" s="4" t="inlineStr">
        <is>
          <t>Wet area</t>
        </is>
      </c>
      <c r="B7" s="4" t="inlineStr">
        <is>
          <t>Rough Cuddapah / Kota stone, falls to drain</t>
        </is>
      </c>
      <c r="C7" s="4" t="inlineStr">
        <is>
          <t>4 ft stone or tile dado</t>
        </is>
      </c>
      <c r="D7" s="4" t="inlineStr">
        <is>
          <t>Board at 9'-6"</t>
        </is>
      </c>
      <c r="E7" s="4" t="inlineStr">
        <is>
          <t>Service door to the walkway with a 6 in kerb</t>
        </is>
      </c>
      <c r="F7" s="8" t="inlineStr"/>
    </row>
    <row r="8">
      <c r="A8" s="4" t="inlineStr">
        <is>
          <t>Stair</t>
        </is>
      </c>
      <c r="B8" s="4" t="inlineStr">
        <is>
          <t>Granite or Kota treads with a rounded nosing and anti-slip grooves, 10 in treads, 7 in risers</t>
        </is>
      </c>
      <c r="C8" s="4" t="inlineStr">
        <is>
          <t>Teak handrail at 3 ft on the open side, timber jali to the living</t>
        </is>
      </c>
      <c r="D8" s="4" t="inlineStr">
        <is>
          <t>Open to the roof</t>
        </is>
      </c>
      <c r="E8" s="4" t="inlineStr">
        <is>
          <t>Light at the half landing and at the top; 2-way switches</t>
        </is>
      </c>
      <c r="F8" s="8" t="inlineStr"/>
    </row>
    <row r="9">
      <c r="A9" s="4" t="inlineStr">
        <is>
          <t>Store, lobby, landing, passage</t>
        </is>
      </c>
      <c r="B9" s="4" t="inlineStr">
        <is>
          <t>Red oxide or vitrified</t>
        </is>
      </c>
      <c r="C9" s="4" t="inlineStr">
        <is>
          <t>4 in flush skirting; washable paint</t>
        </is>
      </c>
      <c r="D9" s="4" t="inlineStr">
        <is>
          <t>Slab soffit / board</t>
        </is>
      </c>
      <c r="E9" s="4" t="inlineStr"/>
      <c r="F9" s="8" t="inlineStr"/>
    </row>
    <row r="10">
      <c r="A10" s="4" t="inlineStr">
        <is>
          <t>Covered terrace (first floor)</t>
        </is>
      </c>
      <c r="B10" s="4" t="inlineStr">
        <is>
          <t>Terracotta anti-skid tile on a waterproofed slab, falls 1:80 to a drain</t>
        </is>
      </c>
      <c r="C10" s="4" t="inlineStr">
        <is>
          <t>Railing 3'-6" on the open sides (teak cap, MS or teak balusters); bamboo chiks on the south and east</t>
        </is>
      </c>
      <c r="D10" s="4" t="inlineStr">
        <is>
          <t>Steel trusses and the tiled roof above, painted; galvanised steel posts at the terrace edge</t>
        </is>
      </c>
      <c r="E10" s="4" t="inlineStr">
        <is>
          <t>Slab waterproofing and a 48 h flood test before tiling: it sits over the living, dining and kitchen</t>
        </is>
      </c>
      <c r="F10" s="8" t="inlineStr"/>
    </row>
    <row r="11">
      <c r="A11" s="4" t="inlineStr">
        <is>
          <t>Poomukham, steps</t>
        </is>
      </c>
      <c r="B11" s="4" t="inlineStr">
        <is>
          <t>Flamed / leather-finish granite (not polished)</t>
        </is>
      </c>
      <c r="C11" s="4" t="inlineStr">
        <is>
          <t>Granite skirting; plinth face clad 2 ft (splash zone)</t>
        </is>
      </c>
      <c r="D11" s="4" t="inlineStr">
        <is>
          <t>Exposed rafters + board</t>
        </is>
      </c>
      <c r="E11" s="4" t="inlineStr">
        <is>
          <t>Polished stone is slippery when wet</t>
        </is>
      </c>
      <c r="F11" s="8" t="inlineStr"/>
    </row>
    <row r="12">
      <c r="A12" s="4" t="inlineStr">
        <is>
          <t>Exterior</t>
        </is>
      </c>
      <c r="B12" s="4" t="inlineStr">
        <is>
          <t>Plinth apron: PCC 3 ft wide sloped away</t>
        </is>
      </c>
      <c r="C12" s="4" t="inlineStr">
        <is>
          <t>AAC + 20 mm plaster with waterproof additive; elastomeric paint</t>
        </is>
      </c>
      <c r="D12" s="4" t="inlineStr">
        <is>
          <t>-</t>
        </is>
      </c>
      <c r="E12" s="4" t="inlineStr">
        <is>
          <t>Drip grooves under every sill and sunshade</t>
        </is>
      </c>
      <c r="F12" s="8" t="inlineStr"/>
    </row>
    <row r="13">
      <c r="A13" s="4" t="inlineStr">
        <is>
          <t>Roof (all)</t>
        </is>
      </c>
      <c r="B13" s="4" t="inlineStr">
        <is>
          <t>Mangalore clay tiles, every edge tile clipped / screwed</t>
        </is>
      </c>
      <c r="C13" s="4" t="inlineStr">
        <is>
          <t>Membrane + 50 mm insulation on cement-fibre deck</t>
        </is>
      </c>
      <c r="D13" s="4" t="inlineStr">
        <is>
          <t>Steel truss on RCC ring beams (first-floor walls for the main roof, ground-floor walls for the front gable)</t>
        </is>
      </c>
      <c r="E13" s="4" t="inlineStr">
        <is>
          <t>Cyclone winds: tie trusses down with holding-down bolts</t>
        </is>
      </c>
      <c r="F13"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Site</t>
        </is>
      </c>
      <c r="B4" s="4" t="inlineStr">
        <is>
          <t>Compound wall</t>
        </is>
      </c>
      <c r="C4" s="4" t="inlineStr">
        <is>
          <t>Precast RCC post-and-panel wall, 5 ft high: 4 in square posts at about 7 ft centres on small pad footings, 2 in slotted panels, set just inside the plot line; panels lift out, so the north run can be moved if the north strip is bought</t>
        </is>
      </c>
      <c r="D4" s="4" t="inlineStr">
        <is>
          <t>Thinnest practical wall: keeps the 2 ft north gap and 3 ft south walkway usable; cheap, quick and reusable</t>
        </is>
      </c>
    </row>
    <row r="5">
      <c r="A5" s="4" t="inlineStr">
        <is>
          <t>Substructure</t>
        </is>
      </c>
      <c r="B5" s="4" t="inlineStr">
        <is>
          <t>Plinth beam + DPC</t>
        </is>
      </c>
      <c r="C5" s="4" t="inlineStr">
        <is>
          <t>RCC plinth beam all round; 40 mm DPC with waterproofing compound at plinth top</t>
        </is>
      </c>
      <c r="D5" s="4" t="inlineStr">
        <is>
          <t>Stops rising damp into AAC</t>
        </is>
      </c>
    </row>
    <row r="6">
      <c r="A6" s="4" t="inlineStr">
        <is>
          <t>Substructure</t>
        </is>
      </c>
      <c r="B6" s="4" t="inlineStr">
        <is>
          <t>Plinth fill</t>
        </is>
      </c>
      <c r="C6" s="4" t="inlineStr">
        <is>
          <t>Non-expansive moorum / gravel in 150 mm layers, compacted; no black soil fill</t>
        </is>
      </c>
      <c r="D6" s="4" t="inlineStr">
        <is>
          <t>Black soil under the floor will heave the slab</t>
        </is>
      </c>
    </row>
    <row r="7">
      <c r="A7" s="4" t="inlineStr">
        <is>
          <t>Substructure</t>
        </is>
      </c>
      <c r="B7" s="4" t="inlineStr">
        <is>
          <t>Anti-termite</t>
        </is>
      </c>
      <c r="C7" s="4" t="inlineStr">
        <is>
          <t>Pre-construction chemical treatment (IS 6313) at foundation, plinth fill and around walls</t>
        </is>
      </c>
      <c r="D7" s="4" t="inlineStr">
        <is>
          <t>High termite risk; cannot be redone easily later</t>
        </is>
      </c>
    </row>
    <row r="8">
      <c r="A8" s="4" t="inlineStr">
        <is>
          <t>Substructure</t>
        </is>
      </c>
      <c r="B8" s="4" t="inlineStr">
        <is>
          <t>Plinth protection</t>
        </is>
      </c>
      <c r="C8" s="4" t="inlineStr">
        <is>
          <t>3 ft PCC apron with slope away, joint sealed to wall</t>
        </is>
      </c>
      <c r="D8" s="4" t="inlineStr">
        <is>
          <t>Keeps rain off expansive soil next to foundations</t>
        </is>
      </c>
    </row>
    <row r="9">
      <c r="A9" s="4" t="inlineStr">
        <is>
          <t>Frame</t>
        </is>
      </c>
      <c r="B9" s="4" t="inlineStr">
        <is>
          <t>Columns, beams, bands</t>
        </is>
      </c>
      <c r="C9" s="4" t="inlineStr">
        <is>
          <t>RCC frame; lintel band at door head, ring beam at wall top; seismic zone III detailing (IS 13920 as engineer decides)</t>
        </is>
      </c>
      <c r="D9" s="4" t="inlineStr">
        <is>
          <t>AAC infill is not load-bearing for truss + cyclone loads</t>
        </is>
      </c>
    </row>
    <row r="10">
      <c r="A10" s="4" t="inlineStr">
        <is>
          <t>Frame</t>
        </is>
      </c>
      <c r="B10" s="4" t="inlineStr">
        <is>
          <t>First-floor slab and stair</t>
        </is>
      </c>
      <c r="C10" s="4" t="inlineStr">
        <is>
          <t>RCC slab over the whole two-storey block (about 5 in, by engineer) with drop beams at the stair well and an edge beam round the terrace; dog-leg RCC stair, 17 risers of about 7 in, 10 in treads, waist slab by engineer; columns run full height for two floors</t>
        </is>
      </c>
      <c r="D10" s="4" t="inlineStr">
        <is>
          <t>Two storeys: the slab carries the upper master, bath, lounge and terrace</t>
        </is>
      </c>
    </row>
    <row r="11">
      <c r="A11" s="4" t="inlineStr">
        <is>
          <t>Frame</t>
        </is>
      </c>
      <c r="B11" s="4" t="inlineStr">
        <is>
          <t>Covered terrace roof frame</t>
        </is>
      </c>
      <c r="C11" s="4" t="inlineStr">
        <is>
          <t>Hot-dip galvanised steel posts (about 100 x 100 mm SHS) on RCC column stubs at the slab edge, bolted base plates with grout; steel trusses and purlins carry the same clay-tile roof as the rest of the house; all steel primed and painted, bolted connections</t>
        </is>
      </c>
      <c r="D11" s="4" t="inlineStr">
        <is>
          <t>A light frame instead of walls keeps the terrace open; galvanising resists the humid, salty coastal air</t>
        </is>
      </c>
    </row>
    <row r="12">
      <c r="A12" s="4" t="inlineStr">
        <is>
          <t>Walls</t>
        </is>
      </c>
      <c r="B12" s="4" t="inlineStr">
        <is>
          <t>AAC blocks</t>
        </is>
      </c>
      <c r="C12" s="4" t="inlineStr">
        <is>
          <t>IS 2185-3, 200 mm outer / 150 mm wet walls / 100 mm inner; thin-bed polymer mortar</t>
        </is>
      </c>
      <c r="D12" s="4" t="inlineStr">
        <is>
          <t>Better insulation than brick; lighter frame</t>
        </is>
      </c>
    </row>
    <row r="13">
      <c r="A13" s="4" t="inlineStr">
        <is>
          <t>Walls</t>
        </is>
      </c>
      <c r="B13" s="4" t="inlineStr">
        <is>
          <t>AAC to RCC joints</t>
        </is>
      </c>
      <c r="C13" s="4" t="inlineStr">
        <is>
          <t>Galvanised mesh strip 150 mm wide over every block-concrete joint before plaster</t>
        </is>
      </c>
      <c r="D13" s="4" t="inlineStr">
        <is>
          <t>The most common AAC crack; cheap to prevent</t>
        </is>
      </c>
    </row>
    <row r="14">
      <c r="A14" s="4" t="inlineStr">
        <is>
          <t>Walls</t>
        </is>
      </c>
      <c r="B14" s="4" t="inlineStr">
        <is>
          <t>Chasing</t>
        </is>
      </c>
      <c r="C14" s="4" t="inlineStr">
        <is>
          <t>Cut chases with a groover, never hammer; fill with polymer mortar + mesh</t>
        </is>
      </c>
      <c r="D14" s="4" t="inlineStr">
        <is>
          <t>Hammering cracks AAC blocks</t>
        </is>
      </c>
    </row>
    <row r="15">
      <c r="A15" s="4" t="inlineStr">
        <is>
          <t>Walls</t>
        </is>
      </c>
      <c r="B15" s="4" t="inlineStr">
        <is>
          <t>External plaster</t>
        </is>
      </c>
      <c r="C15" s="4" t="inlineStr">
        <is>
          <t>20 mm, two coats, waterproof admixture, cured 7 days; elastomeric paint</t>
        </is>
      </c>
      <c r="D15" s="4" t="inlineStr">
        <is>
          <t>Wind-driven cyclone rain</t>
        </is>
      </c>
    </row>
    <row r="16">
      <c r="A16" s="4" t="inlineStr">
        <is>
          <t>Roof</t>
        </is>
      </c>
      <c r="B16" s="4" t="inlineStr">
        <is>
          <t>Structure</t>
        </is>
      </c>
      <c r="C16" s="4" t="inlineStr">
        <is>
          <t>Steel truss (hot-dip galvanised or epoxy primed), 30 deg pitch, bolted to ring beam with holding-down bolts</t>
        </is>
      </c>
      <c r="D16" s="4" t="inlineStr">
        <is>
          <t>Uplift in cyclone winds</t>
        </is>
      </c>
    </row>
    <row r="17">
      <c r="A17" s="4" t="inlineStr">
        <is>
          <t>Roof</t>
        </is>
      </c>
      <c r="B17" s="4" t="inlineStr">
        <is>
          <t>Deck and insulation</t>
        </is>
      </c>
      <c r="C17" s="4" t="inlineStr">
        <is>
          <t>Cement-fibre board deck + 50 mm PIR/XPS or reflective insulation + membrane, then battens and Mangalore tiles</t>
        </is>
      </c>
      <c r="D17" s="4" t="inlineStr">
        <is>
          <t>Cuts attic heat in 45 C summers</t>
        </is>
      </c>
    </row>
    <row r="18">
      <c r="A18" s="4" t="inlineStr">
        <is>
          <t>Roof</t>
        </is>
      </c>
      <c r="B18" s="4" t="inlineStr">
        <is>
          <t>Tile fixing</t>
        </is>
      </c>
      <c r="C18" s="4" t="inlineStr">
        <is>
          <t>Clip or screw every tile at eaves, verges, ridges and hips, and every 3rd row elsewhere; ridges bedded and pointed</t>
        </is>
      </c>
      <c r="D18" s="4" t="inlineStr">
        <is>
          <t>Loose tiles fly in cyclones</t>
        </is>
      </c>
    </row>
    <row r="19">
      <c r="A19" s="4" t="inlineStr">
        <is>
          <t>Roof</t>
        </is>
      </c>
      <c r="B19" s="4" t="inlineStr">
        <is>
          <t>Ventilation</t>
        </is>
      </c>
      <c r="C19" s="4" t="inlineStr">
        <is>
          <t>Ridge / gable vents with bird and insect mesh; soffit vents at eaves</t>
        </is>
      </c>
      <c r="D19" s="4" t="inlineStr">
        <is>
          <t>Flushes hot air from the attic</t>
        </is>
      </c>
    </row>
    <row r="20">
      <c r="A20" s="4" t="inlineStr">
        <is>
          <t>Roof</t>
        </is>
      </c>
      <c r="B20" s="4" t="inlineStr">
        <is>
          <t>Gutters and downpipes</t>
        </is>
      </c>
      <c r="C20" s="4" t="inlineStr">
        <is>
          <t>150 mm half-round gutters with leaf guard on the main and front roofs, 100 mm downpipes at 6 points, to the sump filter, overflow to the road drain</t>
        </is>
      </c>
      <c r="D20" s="4" t="inlineStr">
        <is>
          <t>Short heavy bursts; protects the plinth</t>
        </is>
      </c>
    </row>
    <row r="21">
      <c r="A21" s="4" t="inlineStr">
        <is>
          <t>Openings</t>
        </is>
      </c>
      <c r="B21" s="4" t="inlineStr">
        <is>
          <t>Windows</t>
        </is>
      </c>
      <c r="C21" s="4" t="inlineStr">
        <is>
          <t>Hardwood or UPVC frames; mosquito mesh on every opening; MS grill for security</t>
        </is>
      </c>
      <c r="D21" s="4" t="inlineStr">
        <is>
          <t>Mosquitoes; ground-floor security</t>
        </is>
      </c>
    </row>
    <row r="22">
      <c r="A22" s="4" t="inlineStr">
        <is>
          <t>Openings</t>
        </is>
      </c>
      <c r="B22" s="4" t="inlineStr">
        <is>
          <t>Sills and sunshades</t>
        </is>
      </c>
      <c r="C22" s="4" t="inlineStr">
        <is>
          <t>External sills sloped 1:10 with drip groove; 2 ft sunshades with drip groove; 18 in projecting drip under the jali wall</t>
        </is>
      </c>
      <c r="D22" s="4" t="inlineStr">
        <is>
          <t>Stops staining and water entry</t>
        </is>
      </c>
    </row>
    <row r="23">
      <c r="A23" s="4" t="inlineStr">
        <is>
          <t>Openings</t>
        </is>
      </c>
      <c r="B23" s="4" t="inlineStr">
        <is>
          <t>Vents above inner doors</t>
        </is>
      </c>
      <c r="C23" s="4" t="inlineStr">
        <is>
          <t>Pooja: open jali; bedrooms and bathrooms: none (the workstation has no door for now). 7'-6" to 9'-0" above the lintel band</t>
        </is>
      </c>
      <c r="D23" s="4" t="inlineStr">
        <is>
          <t>Air moves with doors shut where privacy allows; bedrooms rely on their north windows, fans and AC</t>
        </is>
      </c>
    </row>
    <row r="24">
      <c r="A24" s="4" t="inlineStr">
        <is>
          <t>Openings</t>
        </is>
      </c>
      <c r="B24" s="4" t="inlineStr">
        <is>
          <t>Bathroom doors</t>
        </is>
      </c>
      <c r="C24" s="4" t="inlineStr">
        <is>
          <t>WPC / FRP shutters on WPC or granite frame base; no wooden frame touching the wet floor</t>
        </is>
      </c>
      <c r="D24" s="4" t="inlineStr">
        <is>
          <t>Wood frames rot at the bottom</t>
        </is>
      </c>
    </row>
    <row r="25">
      <c r="A25" s="4" t="inlineStr">
        <is>
          <t>Floors</t>
        </is>
      </c>
      <c r="B25" s="4" t="inlineStr">
        <is>
          <t>General</t>
        </is>
      </c>
      <c r="C25" s="4" t="inlineStr">
        <is>
          <t>4 in skirting flush with the wall plaster (groove in plaster); 3 mm epoxy grout in wet areas</t>
        </is>
      </c>
      <c r="D25" s="4" t="inlineStr">
        <is>
          <t>No dust ledge, no black grout lines</t>
        </is>
      </c>
    </row>
    <row r="26">
      <c r="A26" s="4" t="inlineStr">
        <is>
          <t>Floors</t>
        </is>
      </c>
      <c r="B26" s="4" t="inlineStr">
        <is>
          <t>Wet rooms</t>
        </is>
      </c>
      <c r="C26" s="4" t="inlineStr">
        <is>
          <t>Waterproofing (polymer cementitious) floor + 12 in up walls + 7 ft in shower; flood test 48 h before tiling</t>
        </is>
      </c>
      <c r="D26" s="4" t="inlineStr">
        <is>
          <t>Leak into neighbouring rooms is the top complaint</t>
        </is>
      </c>
    </row>
    <row r="27">
      <c r="A27" s="4" t="inlineStr">
        <is>
          <t>Plumbing</t>
        </is>
      </c>
      <c r="B27" s="4" t="inlineStr">
        <is>
          <t>Supply</t>
        </is>
      </c>
      <c r="C27" s="4" t="inlineStr">
        <is>
          <t>CPVC hot/cold; supply runs along external walls in clamps or shallow chases; isolation valve per bathroom and kitchen</t>
        </is>
      </c>
      <c r="D27" s="4" t="inlineStr">
        <is>
          <t>Easy repair without breaking tiles</t>
        </is>
      </c>
    </row>
    <row r="28">
      <c r="A28" s="4" t="inlineStr">
        <is>
          <t>Plumbing</t>
        </is>
      </c>
      <c r="B28" s="4" t="inlineStr">
        <is>
          <t>Drainage</t>
        </is>
      </c>
      <c r="C28" s="4" t="inlineStr">
        <is>
          <t>uPVC SWR 110 mm soil, 75 mm waste; inspection chamber at every bend and junction; separate soil and grey-water lines</t>
        </is>
      </c>
      <c r="D28" s="4" t="inlineStr">
        <is>
          <t>Easy rodding</t>
        </is>
      </c>
    </row>
    <row r="29">
      <c r="A29" s="4" t="inlineStr">
        <is>
          <t>Plumbing</t>
        </is>
      </c>
      <c r="B29" s="4" t="inlineStr">
        <is>
          <t>Water treatment</t>
        </is>
      </c>
      <c r="C29" s="4" t="inlineStr">
        <is>
          <t>RO for drinking at kitchen; whole-house softener if hardness &gt; 300 mg/l; matt fittings</t>
        </is>
      </c>
      <c r="D29" s="4" t="inlineStr">
        <is>
          <t>Guntur groundwater is often hard with high fluoride</t>
        </is>
      </c>
    </row>
    <row r="30">
      <c r="A30" s="4" t="inlineStr">
        <is>
          <t>Electrical</t>
        </is>
      </c>
      <c r="B30" s="4" t="inlineStr">
        <is>
          <t>Wiring</t>
        </is>
      </c>
      <c r="C30" s="4" t="inlineStr">
        <is>
          <t>FR-LSH copper; 1.5 sq mm lights, 2.5 sq mm sockets, 4 sq mm AC / geyser; separate circuits per AC</t>
        </is>
      </c>
      <c r="D30" s="4" t="inlineStr">
        <is>
          <t>AC loads</t>
        </is>
      </c>
    </row>
    <row r="31">
      <c r="A31" s="4" t="inlineStr">
        <is>
          <t>Electrical</t>
        </is>
      </c>
      <c r="B31" s="4" t="inlineStr">
        <is>
          <t>Protection</t>
        </is>
      </c>
      <c r="C31" s="4" t="inlineStr">
        <is>
          <t>RCCB 30 mA + MCBs; 2 earth pits; surge protection device; DB in an accessible spot</t>
        </is>
      </c>
      <c r="D31" s="4" t="inlineStr">
        <is>
          <t>Shock and lightning safety</t>
        </is>
      </c>
    </row>
    <row r="32">
      <c r="A32" s="4" t="inlineStr">
        <is>
          <t>Electrical</t>
        </is>
      </c>
      <c r="B32" s="4" t="inlineStr">
        <is>
          <t>Backup</t>
        </is>
      </c>
      <c r="C32" s="4" t="inlineStr">
        <is>
          <t>Inverter circuit to lights, fans, study sockets and router; conduit from roof to DB for future solar PV</t>
        </is>
      </c>
      <c r="D32" s="4" t="inlineStr">
        <is>
          <t>Power cuts during work-from-home</t>
        </is>
      </c>
    </row>
    <row r="33">
      <c r="A33" s="4" t="inlineStr">
        <is>
          <t>Electrical</t>
        </is>
      </c>
      <c r="B33" s="4" t="inlineStr">
        <is>
          <t>AC provisions</t>
        </is>
      </c>
      <c r="C33" s="4" t="inlineStr">
        <is>
          <t>16 A socket at 7 ft, 65 mm sleeve through wall, drain pipe to outside, ODU brackets on shaded walls</t>
        </is>
      </c>
      <c r="D33"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34.22</v>
      </c>
      <c r="D2" s="4" t="inlineStr">
        <is>
          <t>cu m</t>
        </is>
      </c>
      <c r="E2" s="4" t="inlineStr">
        <is>
          <t>Both floors, net of openings, floor to beam soffit</t>
        </is>
      </c>
      <c r="F2" s="10" t="n"/>
      <c r="G2" s="11">
        <f>IF(F2="","",C2*F2)</f>
        <v/>
      </c>
    </row>
    <row r="3">
      <c r="A3" s="4" t="inlineStr">
        <is>
          <t>Walls</t>
        </is>
      </c>
      <c r="B3" s="4" t="inlineStr">
        <is>
          <t>AAC blocks, 150 mm wet walls</t>
        </is>
      </c>
      <c r="C3" s="4" t="n">
        <v>4.81</v>
      </c>
      <c r="D3" s="4" t="inlineStr">
        <is>
          <t>cu m</t>
        </is>
      </c>
      <c r="E3" s="4" t="inlineStr">
        <is>
          <t>Both floors, net of openings, floor to beam soffit</t>
        </is>
      </c>
      <c r="F3" s="10" t="n"/>
      <c r="G3" s="11">
        <f>IF(F3="","",C3*F3)</f>
        <v/>
      </c>
    </row>
    <row r="4">
      <c r="A4" s="4" t="inlineStr">
        <is>
          <t>Walls</t>
        </is>
      </c>
      <c r="B4" s="4" t="inlineStr">
        <is>
          <t>AAC blocks, 100 mm inner walls</t>
        </is>
      </c>
      <c r="C4" s="4" t="n">
        <v>7.6</v>
      </c>
      <c r="D4" s="4" t="inlineStr">
        <is>
          <t>cu m</t>
        </is>
      </c>
      <c r="E4" s="4" t="inlineStr">
        <is>
          <t>Both floors, net of openings, floor to beam soffit</t>
        </is>
      </c>
      <c r="F4" s="10" t="n"/>
      <c r="G4" s="11">
        <f>IF(F4="","",C4*F4)</f>
        <v/>
      </c>
    </row>
    <row r="5">
      <c r="A5" s="4" t="inlineStr">
        <is>
          <t>Frame</t>
        </is>
      </c>
      <c r="B5" s="4" t="inlineStr">
        <is>
          <t>Lintel band / ring beam (each, running length, both floors)</t>
        </is>
      </c>
      <c r="C5" s="4" t="n">
        <v>124</v>
      </c>
      <c r="D5" s="4" t="inlineStr">
        <is>
          <t>m</t>
        </is>
      </c>
      <c r="E5" s="4" t="inlineStr">
        <is>
          <t>Along all walls; sizes by engineer</t>
        </is>
      </c>
      <c r="F5" s="10" t="n"/>
      <c r="G5" s="11">
        <f>IF(F5="","",C5*F5)</f>
        <v/>
      </c>
    </row>
    <row r="6">
      <c r="A6" s="4" t="inlineStr">
        <is>
          <t>Frame</t>
        </is>
      </c>
      <c r="B6" s="4" t="inlineStr">
        <is>
          <t>First-floor RCC slab (about 5 in)</t>
        </is>
      </c>
      <c r="C6" s="4" t="n">
        <v>81.8</v>
      </c>
      <c r="D6" s="4" t="inlineStr">
        <is>
          <t>sq m</t>
        </is>
      </c>
      <c r="E6" s="4" t="inlineStr">
        <is>
          <t>Over the back half, less the stair well</t>
        </is>
      </c>
      <c r="F6" s="10" t="n"/>
      <c r="G6" s="11">
        <f>IF(F6="","",C6*F6)</f>
        <v/>
      </c>
    </row>
    <row r="7">
      <c r="A7" s="4" t="inlineStr">
        <is>
          <t>Frame</t>
        </is>
      </c>
      <c r="B7" s="4" t="inlineStr">
        <is>
          <t>RCC dog-leg stair</t>
        </is>
      </c>
      <c r="C7" s="4" t="n">
        <v>17</v>
      </c>
      <c r="D7" s="4" t="inlineStr">
        <is>
          <t>risers</t>
        </is>
      </c>
      <c r="E7" s="4" t="inlineStr">
        <is>
          <t>3'-6" flights, half landing 7'-6" x 5'-8"</t>
        </is>
      </c>
      <c r="F7" s="10" t="n"/>
      <c r="G7" s="11">
        <f>IF(F7="","",C7*F7)</f>
        <v/>
      </c>
    </row>
    <row r="8">
      <c r="A8" s="4" t="inlineStr">
        <is>
          <t>Frame</t>
        </is>
      </c>
      <c r="B8" s="4" t="inlineStr">
        <is>
          <t>Galvanised steel posts for the terrace roof (about 100 mm SHS, 9 ft)</t>
        </is>
      </c>
      <c r="C8" s="4" t="n">
        <v>6</v>
      </c>
      <c r="D8" s="4" t="inlineStr">
        <is>
          <t>no.</t>
        </is>
      </c>
      <c r="E8" s="4" t="inlineStr">
        <is>
          <t>On RCC column stubs; trusses over the terrace in steel</t>
        </is>
      </c>
      <c r="F8" s="10" t="n"/>
      <c r="G8" s="11">
        <f>IF(F8="","",C8*F8)</f>
        <v/>
      </c>
    </row>
    <row r="9">
      <c r="A9" s="4" t="inlineStr">
        <is>
          <t>Frame</t>
        </is>
      </c>
      <c r="B9" s="4" t="inlineStr">
        <is>
          <t>Railings, teak or MS with teak cap, 3'-6" high</t>
        </is>
      </c>
      <c r="C9" s="4" t="n">
        <v>22</v>
      </c>
      <c r="D9" s="4" t="inlineStr">
        <is>
          <t>m</t>
        </is>
      </c>
      <c r="E9" s="4" t="inlineStr">
        <is>
          <t>Terrace open sides and stair well</t>
        </is>
      </c>
      <c r="F9" s="10" t="n"/>
      <c r="G9" s="11">
        <f>IF(F9="","",C9*F9)</f>
        <v/>
      </c>
    </row>
    <row r="10">
      <c r="A10" s="4" t="inlineStr">
        <is>
          <t>Walls</t>
        </is>
      </c>
      <c r="B10" s="4" t="inlineStr">
        <is>
          <t>Internal plaster</t>
        </is>
      </c>
      <c r="C10" s="4" t="n">
        <v>387.7</v>
      </c>
      <c r="D10" s="4" t="inlineStr">
        <is>
          <t>sq m</t>
        </is>
      </c>
      <c r="E10" s="4" t="inlineStr">
        <is>
          <t>Both faces of inner walls, inner face of outer walls</t>
        </is>
      </c>
      <c r="F10" s="10" t="n"/>
      <c r="G10" s="11">
        <f>IF(F10="","",C10*F10)</f>
        <v/>
      </c>
    </row>
    <row r="11">
      <c r="A11" s="4" t="inlineStr">
        <is>
          <t>Walls</t>
        </is>
      </c>
      <c r="B11" s="4" t="inlineStr">
        <is>
          <t>External plaster (waterproof)</t>
        </is>
      </c>
      <c r="C11" s="4" t="n">
        <v>198.6</v>
      </c>
      <c r="D11" s="4" t="inlineStr">
        <is>
          <t>sq m</t>
        </is>
      </c>
      <c r="E11" s="4" t="inlineStr">
        <is>
          <t>Outer walls (both floors) + plinth face; add scaffolding for the 20 ft walls</t>
        </is>
      </c>
      <c r="F11" s="10" t="n"/>
      <c r="G11" s="11">
        <f>IF(F11="","",C11*F11)</f>
        <v/>
      </c>
    </row>
    <row r="12">
      <c r="A12" s="4" t="inlineStr">
        <is>
          <t>Floors</t>
        </is>
      </c>
      <c r="B12" s="4" t="inlineStr">
        <is>
          <t>Matt vitrified 2x2</t>
        </is>
      </c>
      <c r="C12" s="4" t="n">
        <v>55.9</v>
      </c>
      <c r="D12" s="4" t="inlineStr">
        <is>
          <t>sq m</t>
        </is>
      </c>
      <c r="E12" s="4" t="inlineStr">
        <is>
          <t>Clear room areas; add 5-8% wastage</t>
        </is>
      </c>
      <c r="F12" s="10" t="n"/>
      <c r="G12" s="11">
        <f>IF(F12="","",C12*F12)</f>
        <v/>
      </c>
    </row>
    <row r="13">
      <c r="A13" s="4" t="inlineStr">
        <is>
          <t>Floors</t>
        </is>
      </c>
      <c r="B13" s="4" t="inlineStr">
        <is>
          <t>Anti-skid ceramic, waterproofed</t>
        </is>
      </c>
      <c r="C13" s="4" t="n">
        <v>22.1</v>
      </c>
      <c r="D13" s="4" t="inlineStr">
        <is>
          <t>sq m</t>
        </is>
      </c>
      <c r="E13" s="4" t="inlineStr">
        <is>
          <t>Clear room areas; add 5-8% wastage</t>
        </is>
      </c>
      <c r="F13" s="10" t="n"/>
      <c r="G13" s="11">
        <f>IF(F13="","",C13*F13)</f>
        <v/>
      </c>
    </row>
    <row r="14">
      <c r="A14" s="4" t="inlineStr">
        <is>
          <t>Floors</t>
        </is>
      </c>
      <c r="B14" s="4" t="inlineStr">
        <is>
          <t>Red oxide / Kota stone</t>
        </is>
      </c>
      <c r="C14" s="4" t="n">
        <v>51.3</v>
      </c>
      <c r="D14" s="4" t="inlineStr">
        <is>
          <t>sq m</t>
        </is>
      </c>
      <c r="E14" s="4" t="inlineStr">
        <is>
          <t>Clear room areas; add 5-8% wastage</t>
        </is>
      </c>
      <c r="F14" s="10" t="n"/>
      <c r="G14" s="11">
        <f>IF(F14="","",C14*F14)</f>
        <v/>
      </c>
    </row>
    <row r="15">
      <c r="A15" s="4" t="inlineStr">
        <is>
          <t>Floors</t>
        </is>
      </c>
      <c r="B15" s="4" t="inlineStr">
        <is>
          <t>Flamed granite</t>
        </is>
      </c>
      <c r="C15" s="4" t="n">
        <v>6.3</v>
      </c>
      <c r="D15" s="4" t="inlineStr">
        <is>
          <t>sq m</t>
        </is>
      </c>
      <c r="E15" s="4" t="inlineStr">
        <is>
          <t>Clear room areas; add 5-8% wastage</t>
        </is>
      </c>
      <c r="F15" s="10" t="n"/>
      <c r="G15" s="11">
        <f>IF(F15="","",C15*F15)</f>
        <v/>
      </c>
    </row>
    <row r="16">
      <c r="A16" s="4" t="inlineStr">
        <is>
          <t>Floors</t>
        </is>
      </c>
      <c r="B16" s="4" t="inlineStr">
        <is>
          <t>Terracotta anti-skid tile, waterproofed</t>
        </is>
      </c>
      <c r="C16" s="4" t="n">
        <v>34</v>
      </c>
      <c r="D16" s="4" t="inlineStr">
        <is>
          <t>sq m</t>
        </is>
      </c>
      <c r="E16" s="4" t="inlineStr">
        <is>
          <t>Clear room areas; add 5-8% wastage</t>
        </is>
      </c>
      <c r="F16" s="10" t="n"/>
      <c r="G16" s="11">
        <f>IF(F16="","",C16*F16)</f>
        <v/>
      </c>
    </row>
    <row r="17">
      <c r="A17" s="4" t="inlineStr">
        <is>
          <t>Floors</t>
        </is>
      </c>
      <c r="B17" s="4" t="inlineStr">
        <is>
          <t>Flush skirting, 4 in</t>
        </is>
      </c>
      <c r="C17" s="4" t="n">
        <v>142.6</v>
      </c>
      <c r="D17" s="4" t="inlineStr">
        <is>
          <t>m</t>
        </is>
      </c>
      <c r="E17" s="4" t="inlineStr">
        <is>
          <t>Room perimeters (dry rooms), doors not deducted</t>
        </is>
      </c>
      <c r="F17" s="10" t="n"/>
      <c r="G17" s="11">
        <f>IF(F17="","",C17*F17)</f>
        <v/>
      </c>
    </row>
    <row r="18">
      <c r="A18" s="4" t="inlineStr">
        <is>
          <t>Wet rooms</t>
        </is>
      </c>
      <c r="B18" s="4" t="inlineStr">
        <is>
          <t>Wall tiles to 7 ft, Master bath</t>
        </is>
      </c>
      <c r="C18" s="4" t="n">
        <v>14.3</v>
      </c>
      <c r="D18" s="4" t="inlineStr">
        <is>
          <t>sq m</t>
        </is>
      </c>
      <c r="E18" s="4" t="inlineStr">
        <is>
          <t>Full height in the shower adds ~2 sq m</t>
        </is>
      </c>
      <c r="F18" s="10" t="n"/>
      <c r="G18" s="11">
        <f>IF(F18="","",C18*F18)</f>
        <v/>
      </c>
    </row>
    <row r="19">
      <c r="A19" s="4" t="inlineStr">
        <is>
          <t>Wet rooms</t>
        </is>
      </c>
      <c r="B19" s="4" t="inlineStr">
        <is>
          <t>Waterproofing, Master bath</t>
        </is>
      </c>
      <c r="C19" s="4" t="n">
        <v>9.1</v>
      </c>
      <c r="D19" s="4" t="inlineStr">
        <is>
          <t>sq m</t>
        </is>
      </c>
      <c r="E19" s="4" t="inlineStr">
        <is>
          <t>Floor + 12 in upturn + shower walls to 7 ft</t>
        </is>
      </c>
      <c r="F19" s="10" t="n"/>
      <c r="G19" s="11">
        <f>IF(F19="","",C19*F19)</f>
        <v/>
      </c>
    </row>
    <row r="20">
      <c r="A20" s="4" t="inlineStr">
        <is>
          <t>Wet rooms</t>
        </is>
      </c>
      <c r="B20" s="4" t="inlineStr">
        <is>
          <t>Wall tiles to 7 ft, Common bath</t>
        </is>
      </c>
      <c r="C20" s="4" t="n">
        <v>14.3</v>
      </c>
      <c r="D20" s="4" t="inlineStr">
        <is>
          <t>sq m</t>
        </is>
      </c>
      <c r="E20" s="4" t="inlineStr">
        <is>
          <t>Full height in the shower adds ~2 sq m</t>
        </is>
      </c>
      <c r="F20" s="10" t="n"/>
      <c r="G20" s="11">
        <f>IF(F20="","",C20*F20)</f>
        <v/>
      </c>
    </row>
    <row r="21">
      <c r="A21" s="4" t="inlineStr">
        <is>
          <t>Wet rooms</t>
        </is>
      </c>
      <c r="B21" s="4" t="inlineStr">
        <is>
          <t>Waterproofing, Common bath</t>
        </is>
      </c>
      <c r="C21" s="4" t="n">
        <v>9.1</v>
      </c>
      <c r="D21" s="4" t="inlineStr">
        <is>
          <t>sq m</t>
        </is>
      </c>
      <c r="E21" s="4" t="inlineStr">
        <is>
          <t>Floor + 12 in upturn + shower walls to 7 ft</t>
        </is>
      </c>
      <c r="F21" s="10" t="n"/>
      <c r="G21" s="11">
        <f>IF(F21="","",C21*F21)</f>
        <v/>
      </c>
    </row>
    <row r="22">
      <c r="A22" s="4" t="inlineStr">
        <is>
          <t>Wet rooms</t>
        </is>
      </c>
      <c r="B22" s="4" t="inlineStr">
        <is>
          <t>Wall tiles to 7 ft, Upper master bath</t>
        </is>
      </c>
      <c r="C22" s="4" t="n">
        <v>14.3</v>
      </c>
      <c r="D22" s="4" t="inlineStr">
        <is>
          <t>sq m</t>
        </is>
      </c>
      <c r="E22" s="4" t="inlineStr">
        <is>
          <t>Full height in the shower adds ~2 sq m</t>
        </is>
      </c>
      <c r="F22" s="10" t="n"/>
      <c r="G22" s="11">
        <f>IF(F22="","",C22*F22)</f>
        <v/>
      </c>
    </row>
    <row r="23">
      <c r="A23" s="4" t="inlineStr">
        <is>
          <t>Wet rooms</t>
        </is>
      </c>
      <c r="B23" s="4" t="inlineStr">
        <is>
          <t>Waterproofing, Upper master bath</t>
        </is>
      </c>
      <c r="C23" s="4" t="n">
        <v>9.1</v>
      </c>
      <c r="D23" s="4" t="inlineStr">
        <is>
          <t>sq m</t>
        </is>
      </c>
      <c r="E23" s="4" t="inlineStr">
        <is>
          <t>Floor + 12 in upturn + shower walls to 7 ft</t>
        </is>
      </c>
      <c r="F23" s="10" t="n"/>
      <c r="G23" s="11">
        <f>IF(F23="","",C23*F23)</f>
        <v/>
      </c>
    </row>
    <row r="24">
      <c r="A24" s="4" t="inlineStr">
        <is>
          <t>Wet rooms</t>
        </is>
      </c>
      <c r="B24" s="4" t="inlineStr">
        <is>
          <t>Waterproofing, covered terrace slab</t>
        </is>
      </c>
      <c r="C24" s="4" t="n">
        <v>41.2</v>
      </c>
      <c r="D24" s="4" t="inlineStr">
        <is>
          <t>sq m</t>
        </is>
      </c>
      <c r="E24" s="4" t="inlineStr">
        <is>
          <t>Floor + 12 in upturn; flood test 48 h</t>
        </is>
      </c>
      <c r="F24" s="10" t="n"/>
      <c r="G24" s="11">
        <f>IF(F24="","",C24*F24)</f>
        <v/>
      </c>
    </row>
    <row r="25">
      <c r="A25" s="4" t="inlineStr">
        <is>
          <t>Kitchen</t>
        </is>
      </c>
      <c r="B25" s="4" t="inlineStr">
        <is>
          <t>Granite counter, 2 ft deep</t>
        </is>
      </c>
      <c r="C25" s="4" t="n">
        <v>5.4</v>
      </c>
      <c r="D25" s="4" t="inlineStr">
        <is>
          <t>m</t>
        </is>
      </c>
      <c r="E25" s="4" t="inlineStr">
        <is>
          <t>South and east runs (F34, F35)</t>
        </is>
      </c>
      <c r="F25" s="10" t="n"/>
      <c r="G25" s="11">
        <f>IF(F25="","",C25*F25)</f>
        <v/>
      </c>
    </row>
    <row r="26">
      <c r="A26" s="4" t="inlineStr">
        <is>
          <t>Kitchen</t>
        </is>
      </c>
      <c r="B26" s="4" t="inlineStr">
        <is>
          <t>Dado between counter and wall cabinets</t>
        </is>
      </c>
      <c r="C26" s="4" t="n">
        <v>3.3</v>
      </c>
      <c r="D26" s="4" t="inlineStr">
        <is>
          <t>sq m</t>
        </is>
      </c>
      <c r="E26" s="4" t="inlineStr">
        <is>
          <t>2 ft high</t>
        </is>
      </c>
      <c r="F26" s="10" t="n"/>
      <c r="G26" s="11">
        <f>IF(F26="","",C26*F26)</f>
        <v/>
      </c>
    </row>
    <row r="27">
      <c r="A27" s="4" t="inlineStr">
        <is>
          <t>Roof</t>
        </is>
      </c>
      <c r="B27" s="4" t="inlineStr">
        <is>
          <t>Sloped roof area (tiles, deck, insulation, membrane)</t>
        </is>
      </c>
      <c r="C27" s="4" t="n">
        <v>150.6</v>
      </c>
      <c r="D27" s="4" t="inlineStr">
        <is>
          <t>sq m</t>
        </is>
      </c>
      <c r="E27" s="4" t="inlineStr">
        <is>
          <t>Main hip + front gable / cos 30 deg; add ~8% for laps</t>
        </is>
      </c>
      <c r="F27" s="10" t="n"/>
      <c r="G27" s="11">
        <f>IF(F27="","",C27*F27)</f>
        <v/>
      </c>
    </row>
    <row r="28">
      <c r="A28" s="4" t="inlineStr">
        <is>
          <t>Roof</t>
        </is>
      </c>
      <c r="B28" s="4" t="inlineStr">
        <is>
          <t>Gutters</t>
        </is>
      </c>
      <c r="C28" s="4" t="n">
        <v>32.9</v>
      </c>
      <c r="D28" s="4" t="inlineStr">
        <is>
          <t>m</t>
        </is>
      </c>
      <c r="E28" s="4" t="inlineStr">
        <is>
          <t>Both long eaves of the main roof and the front gable</t>
        </is>
      </c>
      <c r="F28" s="10" t="n"/>
      <c r="G28" s="11">
        <f>IF(F28="","",C28*F28)</f>
        <v/>
      </c>
    </row>
    <row r="29">
      <c r="A29" s="4" t="inlineStr">
        <is>
          <t>Roof</t>
        </is>
      </c>
      <c r="B29" s="4" t="inlineStr">
        <is>
          <t>Downpipes, 100 mm</t>
        </is>
      </c>
      <c r="C29" s="4" t="n">
        <v>6</v>
      </c>
      <c r="D29" s="4" t="inlineStr">
        <is>
          <t>no.</t>
        </is>
      </c>
      <c r="E29" s="4" t="inlineStr">
        <is>
          <t>About 22 ft (main roof) or 12 ft (front gable) each</t>
        </is>
      </c>
      <c r="F29" s="10" t="n"/>
      <c r="G29" s="11">
        <f>IF(F29="","",C29*F29)</f>
        <v/>
      </c>
    </row>
    <row r="30">
      <c r="A30" s="4" t="inlineStr">
        <is>
          <t>Roof</t>
        </is>
      </c>
      <c r="B30" s="4" t="inlineStr">
        <is>
          <t>Ridge and hip tiles</t>
        </is>
      </c>
      <c r="C30" s="4" t="n">
        <v>29.1</v>
      </c>
      <c r="D30" s="4" t="inlineStr">
        <is>
          <t>m</t>
        </is>
      </c>
      <c r="E30" s="4" t="inlineStr">
        <is>
          <t>Approximate</t>
        </is>
      </c>
      <c r="F30" s="10" t="n"/>
      <c r="G30" s="11">
        <f>IF(F30="","",C30*F30)</f>
        <v/>
      </c>
    </row>
    <row r="31">
      <c r="A31" s="4" t="inlineStr">
        <is>
          <t>Site</t>
        </is>
      </c>
      <c r="B31" s="4" t="inlineStr">
        <is>
          <t>Compound wall, precast RCC post and panel, 5 ft high</t>
        </is>
      </c>
      <c r="C31" s="4" t="n">
        <v>60</v>
      </c>
      <c r="D31" s="4" t="inlineStr">
        <is>
          <t>m</t>
        </is>
      </c>
      <c r="E31" s="4" t="inlineStr">
        <is>
          <t>Plot perimeter less the gate</t>
        </is>
      </c>
      <c r="F31" s="10" t="n"/>
      <c r="G31" s="11">
        <f>IF(F31="","",C31*F31)</f>
        <v/>
      </c>
    </row>
    <row r="32">
      <c r="A32" s="4" t="inlineStr">
        <is>
          <t>Site</t>
        </is>
      </c>
      <c r="B32" s="4" t="inlineStr">
        <is>
          <t>Plinth protection apron, 3 ft wide</t>
        </is>
      </c>
      <c r="C32" s="4" t="n">
        <v>44.3</v>
      </c>
      <c r="D32" s="4" t="inlineStr">
        <is>
          <t>sq m</t>
        </is>
      </c>
      <c r="E32" s="4" t="inlineStr">
        <is>
          <t>PCC with slope away</t>
        </is>
      </c>
      <c r="F32" s="10" t="n"/>
      <c r="G32" s="11">
        <f>IF(F32="","",C32*F32)</f>
        <v/>
      </c>
    </row>
    <row r="33">
      <c r="A33" s="4" t="inlineStr">
        <is>
          <t>Openings</t>
        </is>
      </c>
      <c r="B33" s="4" t="inlineStr">
        <is>
          <t>Doors</t>
        </is>
      </c>
      <c r="C33" s="4" t="n">
        <v>14</v>
      </c>
      <c r="D33" s="4" t="inlineStr">
        <is>
          <t>no.</t>
        </is>
      </c>
      <c r="E33" s="4" t="inlineStr">
        <is>
          <t>See Doors tab</t>
        </is>
      </c>
      <c r="F33" s="10" t="n"/>
      <c r="G33" s="11">
        <f>IF(F33="","",C33*F33)</f>
        <v/>
      </c>
    </row>
    <row r="34">
      <c r="A34" s="4" t="inlineStr">
        <is>
          <t>Openings</t>
        </is>
      </c>
      <c r="B34" s="4" t="inlineStr">
        <is>
          <t>Windows and vents</t>
        </is>
      </c>
      <c r="C34" s="4" t="n">
        <v>19</v>
      </c>
      <c r="D34" s="4" t="inlineStr">
        <is>
          <t>no.</t>
        </is>
      </c>
      <c r="E34" s="4" t="inlineStr">
        <is>
          <t>See Windows tab</t>
        </is>
      </c>
      <c r="F34" s="10" t="n"/>
      <c r="G34" s="11">
        <f>IF(F34="","",C34*F34)</f>
        <v/>
      </c>
    </row>
    <row r="35">
      <c r="A35" s="4" t="inlineStr">
        <is>
          <t>Openings</t>
        </is>
      </c>
      <c r="B35" s="4" t="inlineStr">
        <is>
          <t>Window area (for mesh and grills)</t>
        </is>
      </c>
      <c r="C35" s="4" t="n">
        <v>26.8</v>
      </c>
      <c r="D35" s="4" t="inlineStr">
        <is>
          <t>sq m</t>
        </is>
      </c>
      <c r="E35" s="4" t="inlineStr"/>
      <c r="F35" s="10" t="n"/>
      <c r="G35" s="11">
        <f>IF(F35="","",C35*F35)</f>
        <v/>
      </c>
    </row>
    <row r="36">
      <c r="A36" s="6" t="inlineStr"/>
      <c r="B36" s="6" t="inlineStr">
        <is>
          <t>Total of priced items</t>
        </is>
      </c>
      <c r="C36" s="6" t="inlineStr"/>
      <c r="D36" s="6" t="inlineStr"/>
      <c r="E36" s="6" t="inlineStr"/>
      <c r="F36" s="12" t="inlineStr"/>
      <c r="G36" s="12">
        <f>SUM(G2:G35)</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Master bedroom</t>
        </is>
      </c>
      <c r="E2" s="4" t="n">
        <v>25.5</v>
      </c>
      <c r="F2" s="4" t="n">
        <v>11</v>
      </c>
      <c r="G2" s="4" t="inlineStr">
        <is>
          <t>clear of the bed head</t>
        </is>
      </c>
    </row>
    <row r="3">
      <c r="A3" s="4" t="inlineStr">
        <is>
          <t>L</t>
        </is>
      </c>
      <c r="B3" s="4" t="inlineStr">
        <is>
          <t>Ceiling light</t>
        </is>
      </c>
      <c r="C3" s="4" t="inlineStr">
        <is>
          <t>ceiling</t>
        </is>
      </c>
      <c r="D3" s="4" t="inlineStr">
        <is>
          <t>Master bedroom</t>
        </is>
      </c>
      <c r="E3" s="4" t="n">
        <v>19.5</v>
      </c>
      <c r="F3" s="4" t="n">
        <v>12</v>
      </c>
      <c r="G3" s="4" t="inlineStr"/>
    </row>
    <row r="4">
      <c r="A4" s="4" t="inlineStr">
        <is>
          <t>L</t>
        </is>
      </c>
      <c r="B4" s="4" t="inlineStr">
        <is>
          <t>Ceiling light</t>
        </is>
      </c>
      <c r="C4" s="4" t="inlineStr">
        <is>
          <t>ceiling</t>
        </is>
      </c>
      <c r="D4" s="4" t="inlineStr">
        <is>
          <t>Master bedroom</t>
        </is>
      </c>
      <c r="E4" s="4" t="n">
        <v>28.5</v>
      </c>
      <c r="F4" s="4" t="n">
        <v>7</v>
      </c>
      <c r="G4" s="4" t="inlineStr"/>
    </row>
    <row r="5">
      <c r="A5" s="4" t="inlineStr">
        <is>
          <t>S</t>
        </is>
      </c>
      <c r="B5" s="4" t="inlineStr">
        <is>
          <t>Switchboard</t>
        </is>
      </c>
      <c r="C5" s="4" t="inlineStr">
        <is>
          <t>4'-0"</t>
        </is>
      </c>
      <c r="D5" s="4" t="inlineStr">
        <is>
          <t>Master bedroom</t>
        </is>
      </c>
      <c r="E5" s="4" t="n">
        <v>30.6</v>
      </c>
      <c r="F5" s="4" t="n">
        <v>13.9</v>
      </c>
      <c r="G5" s="4" t="inlineStr">
        <is>
          <t>at the door, latch side, 2-way</t>
        </is>
      </c>
    </row>
    <row r="6">
      <c r="A6" s="4" t="inlineStr">
        <is>
          <t>S</t>
        </is>
      </c>
      <c r="B6" s="4" t="inlineStr">
        <is>
          <t>Switchboard</t>
        </is>
      </c>
      <c r="C6" s="4" t="inlineStr">
        <is>
          <t>4'-0"</t>
        </is>
      </c>
      <c r="D6" s="4" t="inlineStr">
        <is>
          <t>Master bedroom</t>
        </is>
      </c>
      <c r="E6" s="4" t="n">
        <v>27.4</v>
      </c>
      <c r="F6" s="4" t="n">
        <v>3.4</v>
      </c>
      <c r="G6" s="4" t="inlineStr">
        <is>
          <t>bedside, 2-way</t>
        </is>
      </c>
    </row>
    <row r="7">
      <c r="A7" s="4" t="inlineStr">
        <is>
          <t>P</t>
        </is>
      </c>
      <c r="B7" s="4" t="inlineStr">
        <is>
          <t>6 A socket</t>
        </is>
      </c>
      <c r="C7" s="4" t="inlineStr">
        <is>
          <t>1'-0"</t>
        </is>
      </c>
      <c r="D7" s="4" t="inlineStr">
        <is>
          <t>Master bedroom</t>
        </is>
      </c>
      <c r="E7" s="4" t="n">
        <v>20.5</v>
      </c>
      <c r="F7" s="4" t="n">
        <v>3.4</v>
      </c>
      <c r="G7" s="4" t="inlineStr">
        <is>
          <t>bedside</t>
        </is>
      </c>
    </row>
    <row r="8">
      <c r="A8" s="4" t="inlineStr">
        <is>
          <t>P</t>
        </is>
      </c>
      <c r="B8" s="4" t="inlineStr">
        <is>
          <t>6 A socket</t>
        </is>
      </c>
      <c r="C8" s="4" t="inlineStr">
        <is>
          <t>1'-0"</t>
        </is>
      </c>
      <c r="D8" s="4" t="inlineStr">
        <is>
          <t>Master bedroom</t>
        </is>
      </c>
      <c r="E8" s="4" t="n">
        <v>27</v>
      </c>
      <c r="F8" s="4" t="n">
        <v>3.8</v>
      </c>
      <c r="G8" s="4" t="inlineStr">
        <is>
          <t>bedside</t>
        </is>
      </c>
    </row>
    <row r="9">
      <c r="A9" s="4" t="inlineStr">
        <is>
          <t>P</t>
        </is>
      </c>
      <c r="B9" s="4" t="inlineStr">
        <is>
          <t>6 A socket</t>
        </is>
      </c>
      <c r="C9" s="4" t="inlineStr">
        <is>
          <t>1'-0"</t>
        </is>
      </c>
      <c r="D9" s="4" t="inlineStr">
        <is>
          <t>Master bedroom</t>
        </is>
      </c>
      <c r="E9" s="4" t="n">
        <v>26.6</v>
      </c>
      <c r="F9" s="4" t="n">
        <v>15.1</v>
      </c>
      <c r="G9" s="4" t="inlineStr">
        <is>
          <t>dresser</t>
        </is>
      </c>
    </row>
    <row r="10">
      <c r="A10" s="4" t="inlineStr">
        <is>
          <t>AC</t>
        </is>
      </c>
      <c r="B10" s="4" t="inlineStr">
        <is>
          <t>AC indoor unit (16 A socket, sleeve, drain)</t>
        </is>
      </c>
      <c r="C10" s="4" t="inlineStr">
        <is>
          <t>7'-6"</t>
        </is>
      </c>
      <c r="D10" s="4" t="inlineStr">
        <is>
          <t>Master bedroom</t>
        </is>
      </c>
      <c r="E10" s="4" t="n">
        <v>17.4</v>
      </c>
      <c r="F10" s="4" t="n">
        <v>12.8</v>
      </c>
      <c r="G10" s="4" t="inlineStr">
        <is>
          <t>west wall, throws east along the bed, not on the head</t>
        </is>
      </c>
    </row>
    <row r="11">
      <c r="A11" s="4" t="inlineStr">
        <is>
          <t>ODU</t>
        </is>
      </c>
      <c r="B11" s="4" t="inlineStr">
        <is>
          <t>AC outdoor unit bracket</t>
        </is>
      </c>
      <c r="C11" s="4" t="inlineStr">
        <is>
          <t>7'-0" outside</t>
        </is>
      </c>
      <c r="D11" s="4" t="inlineStr">
        <is>
          <t>Master bedroom</t>
        </is>
      </c>
      <c r="E11" s="4" t="n">
        <v>16.6</v>
      </c>
      <c r="F11" s="4" t="n">
        <v>13.5</v>
      </c>
      <c r="G11" s="4" t="inlineStr">
        <is>
          <t>west wall, under the eave and pergola</t>
        </is>
      </c>
    </row>
    <row r="12">
      <c r="A12" s="4" t="inlineStr">
        <is>
          <t>L</t>
        </is>
      </c>
      <c r="B12" s="4" t="inlineStr">
        <is>
          <t>Ceiling light</t>
        </is>
      </c>
      <c r="C12" s="4" t="inlineStr">
        <is>
          <t>ceiling</t>
        </is>
      </c>
      <c r="D12" s="4" t="inlineStr">
        <is>
          <t>Master bath</t>
        </is>
      </c>
      <c r="E12" s="4" t="n">
        <v>34.2</v>
      </c>
      <c r="F12" s="4" t="n">
        <v>6.5</v>
      </c>
      <c r="G12" s="4" t="inlineStr"/>
    </row>
    <row r="13">
      <c r="A13" s="4" t="inlineStr">
        <is>
          <t>EF</t>
        </is>
      </c>
      <c r="B13" s="4" t="inlineStr">
        <is>
          <t>Exhaust fan</t>
        </is>
      </c>
      <c r="C13" s="4" t="inlineStr">
        <is>
          <t>7'-0"</t>
        </is>
      </c>
      <c r="D13" s="4" t="inlineStr">
        <is>
          <t>Master bath</t>
        </is>
      </c>
      <c r="E13" s="4" t="n">
        <v>36.4</v>
      </c>
      <c r="F13" s="4" t="n">
        <v>3.4</v>
      </c>
      <c r="G13" s="4" t="inlineStr">
        <is>
          <t>out through the south wall</t>
        </is>
      </c>
    </row>
    <row r="14">
      <c r="A14" s="4" t="inlineStr">
        <is>
          <t>G</t>
        </is>
      </c>
      <c r="B14" s="4" t="inlineStr">
        <is>
          <t>Geyser (16 A)</t>
        </is>
      </c>
      <c r="C14" s="4" t="inlineStr">
        <is>
          <t>6'-6"</t>
        </is>
      </c>
      <c r="D14" s="4" t="inlineStr">
        <is>
          <t>Master bath</t>
        </is>
      </c>
      <c r="E14" s="4" t="n">
        <v>31.4</v>
      </c>
      <c r="F14" s="4" t="n">
        <v>5.5</v>
      </c>
      <c r="G14" s="4" t="inlineStr">
        <is>
          <t>over shower, west wall</t>
        </is>
      </c>
    </row>
    <row r="15">
      <c r="A15" s="4" t="inlineStr">
        <is>
          <t>PC</t>
        </is>
      </c>
      <c r="B15" s="4" t="inlineStr">
        <is>
          <t>6 A socket at counter</t>
        </is>
      </c>
      <c r="C15" s="4" t="inlineStr">
        <is>
          <t>3'-6"</t>
        </is>
      </c>
      <c r="D15" s="4" t="inlineStr">
        <is>
          <t>Master bath</t>
        </is>
      </c>
      <c r="E15" s="4" t="n">
        <v>35.6</v>
      </c>
      <c r="F15" s="4" t="n">
        <v>9.6</v>
      </c>
      <c r="G15" s="4" t="inlineStr">
        <is>
          <t>by basin</t>
        </is>
      </c>
    </row>
    <row r="16">
      <c r="A16" s="4" t="inlineStr">
        <is>
          <t>S</t>
        </is>
      </c>
      <c r="B16" s="4" t="inlineStr">
        <is>
          <t>Switchboard</t>
        </is>
      </c>
      <c r="C16" s="4" t="inlineStr">
        <is>
          <t>4'-0"</t>
        </is>
      </c>
      <c r="D16" s="4" t="inlineStr">
        <is>
          <t>Master bedroom</t>
        </is>
      </c>
      <c r="E16" s="4" t="n">
        <v>30.6</v>
      </c>
      <c r="F16" s="4" t="n">
        <v>9.800000000000001</v>
      </c>
      <c r="G16" s="4" t="inlineStr">
        <is>
          <t>bath switches outside the door</t>
        </is>
      </c>
    </row>
    <row r="17">
      <c r="A17" s="4" t="inlineStr">
        <is>
          <t>L</t>
        </is>
      </c>
      <c r="B17" s="4" t="inlineStr">
        <is>
          <t>Ceiling light</t>
        </is>
      </c>
      <c r="C17" s="4" t="inlineStr">
        <is>
          <t>ceiling</t>
        </is>
      </c>
      <c r="D17" s="4" t="inlineStr">
        <is>
          <t>Common bath</t>
        </is>
      </c>
      <c r="E17" s="4" t="n">
        <v>41.7</v>
      </c>
      <c r="F17" s="4" t="n">
        <v>7.2</v>
      </c>
      <c r="G17" s="4" t="inlineStr"/>
    </row>
    <row r="18">
      <c r="A18" s="4" t="inlineStr">
        <is>
          <t>EF</t>
        </is>
      </c>
      <c r="B18" s="4" t="inlineStr">
        <is>
          <t>Exhaust fan</t>
        </is>
      </c>
      <c r="C18" s="4" t="inlineStr">
        <is>
          <t>7'-0"</t>
        </is>
      </c>
      <c r="D18" s="4" t="inlineStr">
        <is>
          <t>Common bath</t>
        </is>
      </c>
      <c r="E18" s="4" t="n">
        <v>43.6</v>
      </c>
      <c r="F18" s="4" t="n">
        <v>3.4</v>
      </c>
      <c r="G18" s="4" t="inlineStr">
        <is>
          <t>out through the south wall</t>
        </is>
      </c>
    </row>
    <row r="19">
      <c r="A19" s="4" t="inlineStr">
        <is>
          <t>G</t>
        </is>
      </c>
      <c r="B19" s="4" t="inlineStr">
        <is>
          <t>Geyser (16 A)</t>
        </is>
      </c>
      <c r="C19" s="4" t="inlineStr">
        <is>
          <t>6'-6"</t>
        </is>
      </c>
      <c r="D19" s="4" t="inlineStr">
        <is>
          <t>Common bath</t>
        </is>
      </c>
      <c r="E19" s="4" t="n">
        <v>43.6</v>
      </c>
      <c r="F19" s="4" t="n">
        <v>4.6</v>
      </c>
      <c r="G19" s="4" t="inlineStr">
        <is>
          <t>over shower, east wall</t>
        </is>
      </c>
    </row>
    <row r="20">
      <c r="A20" s="4" t="inlineStr">
        <is>
          <t>PC</t>
        </is>
      </c>
      <c r="B20" s="4" t="inlineStr">
        <is>
          <t>6 A socket at counter</t>
        </is>
      </c>
      <c r="C20" s="4" t="inlineStr">
        <is>
          <t>3'-6"</t>
        </is>
      </c>
      <c r="D20" s="4" t="inlineStr">
        <is>
          <t>Common bath</t>
        </is>
      </c>
      <c r="E20" s="4" t="n">
        <v>43.6</v>
      </c>
      <c r="F20" s="4" t="n">
        <v>7</v>
      </c>
      <c r="G20" s="4" t="inlineStr">
        <is>
          <t>by basin</t>
        </is>
      </c>
    </row>
    <row r="21">
      <c r="A21" s="4" t="inlineStr">
        <is>
          <t>S</t>
        </is>
      </c>
      <c r="B21" s="4" t="inlineStr">
        <is>
          <t>Switchboard</t>
        </is>
      </c>
      <c r="C21" s="4" t="inlineStr">
        <is>
          <t>4'-0"</t>
        </is>
      </c>
      <c r="D21" s="4" t="inlineStr">
        <is>
          <t>Lobby</t>
        </is>
      </c>
      <c r="E21" s="4" t="n">
        <v>43.3</v>
      </c>
      <c r="F21" s="4" t="n">
        <v>10.4</v>
      </c>
      <c r="G21" s="4" t="inlineStr">
        <is>
          <t>common bath switches outside the door</t>
        </is>
      </c>
    </row>
    <row r="22">
      <c r="A22" s="4" t="inlineStr">
        <is>
          <t>F</t>
        </is>
      </c>
      <c r="B22" s="4" t="inlineStr">
        <is>
          <t>Ceiling fan point</t>
        </is>
      </c>
      <c r="C22" s="4" t="inlineStr">
        <is>
          <t>ceiling</t>
        </is>
      </c>
      <c r="D22" s="4" t="inlineStr">
        <is>
          <t>Small bedroom</t>
        </is>
      </c>
      <c r="E22" s="4" t="n">
        <v>27</v>
      </c>
      <c r="F22" s="4" t="n">
        <v>20</v>
      </c>
      <c r="G22" s="4" t="inlineStr"/>
    </row>
    <row r="23">
      <c r="A23" s="4" t="inlineStr">
        <is>
          <t>L</t>
        </is>
      </c>
      <c r="B23" s="4" t="inlineStr">
        <is>
          <t>Ceiling light</t>
        </is>
      </c>
      <c r="C23" s="4" t="inlineStr">
        <is>
          <t>ceiling</t>
        </is>
      </c>
      <c r="D23" s="4" t="inlineStr">
        <is>
          <t>Small bedroom</t>
        </is>
      </c>
      <c r="E23" s="4" t="n">
        <v>20</v>
      </c>
      <c r="F23" s="4" t="n">
        <v>19</v>
      </c>
      <c r="G23" s="4" t="inlineStr"/>
    </row>
    <row r="24">
      <c r="A24" s="4" t="inlineStr">
        <is>
          <t>L</t>
        </is>
      </c>
      <c r="B24" s="4" t="inlineStr">
        <is>
          <t>Ceiling light</t>
        </is>
      </c>
      <c r="C24" s="4" t="inlineStr">
        <is>
          <t>ceiling</t>
        </is>
      </c>
      <c r="D24" s="4" t="inlineStr">
        <is>
          <t>Small bedroom</t>
        </is>
      </c>
      <c r="E24" s="4" t="n">
        <v>27.5</v>
      </c>
      <c r="F24" s="4" t="n">
        <v>23.8</v>
      </c>
      <c r="G24" s="4" t="inlineStr"/>
    </row>
    <row r="25">
      <c r="A25" s="4" t="inlineStr">
        <is>
          <t>S</t>
        </is>
      </c>
      <c r="B25" s="4" t="inlineStr">
        <is>
          <t>Switchboard</t>
        </is>
      </c>
      <c r="C25" s="4" t="inlineStr">
        <is>
          <t>4'-0"</t>
        </is>
      </c>
      <c r="D25" s="4" t="inlineStr">
        <is>
          <t>Small bedroom</t>
        </is>
      </c>
      <c r="E25" s="4" t="n">
        <v>30.6</v>
      </c>
      <c r="F25" s="4" t="n">
        <v>19</v>
      </c>
      <c r="G25" s="4" t="inlineStr">
        <is>
          <t>at the door, latch side</t>
        </is>
      </c>
    </row>
    <row r="26">
      <c r="A26" s="4" t="inlineStr">
        <is>
          <t>P</t>
        </is>
      </c>
      <c r="B26" s="4" t="inlineStr">
        <is>
          <t>6 A socket</t>
        </is>
      </c>
      <c r="C26" s="4" t="inlineStr">
        <is>
          <t>1'-0"</t>
        </is>
      </c>
      <c r="D26" s="4" t="inlineStr">
        <is>
          <t>Small bedroom</t>
        </is>
      </c>
      <c r="E26" s="4" t="n">
        <v>30.6</v>
      </c>
      <c r="F26" s="4" t="n">
        <v>20.1</v>
      </c>
      <c r="G26" s="4" t="inlineStr">
        <is>
          <t>bedside</t>
        </is>
      </c>
    </row>
    <row r="27">
      <c r="A27" s="4" t="inlineStr">
        <is>
          <t>P</t>
        </is>
      </c>
      <c r="B27" s="4" t="inlineStr">
        <is>
          <t>6 A socket</t>
        </is>
      </c>
      <c r="C27" s="4" t="inlineStr">
        <is>
          <t>1'-0"</t>
        </is>
      </c>
      <c r="D27" s="4" t="inlineStr">
        <is>
          <t>Small bedroom</t>
        </is>
      </c>
      <c r="E27" s="4" t="n">
        <v>21</v>
      </c>
      <c r="F27" s="4" t="n">
        <v>15.9</v>
      </c>
      <c r="G27" s="4" t="inlineStr">
        <is>
          <t>study table</t>
        </is>
      </c>
    </row>
    <row r="28">
      <c r="A28" s="4" t="inlineStr">
        <is>
          <t>U</t>
        </is>
      </c>
      <c r="B28" s="4" t="inlineStr">
        <is>
          <t>Inverter (UPS) socket</t>
        </is>
      </c>
      <c r="C28" s="4" t="inlineStr">
        <is>
          <t>1'-0"</t>
        </is>
      </c>
      <c r="D28" s="4" t="inlineStr">
        <is>
          <t>Small bedroom</t>
        </is>
      </c>
      <c r="E28" s="4" t="n">
        <v>22.5</v>
      </c>
      <c r="F28" s="4" t="n">
        <v>15.9</v>
      </c>
      <c r="G28" s="4" t="inlineStr">
        <is>
          <t>study table</t>
        </is>
      </c>
    </row>
    <row r="29">
      <c r="A29" s="4" t="inlineStr">
        <is>
          <t>D</t>
        </is>
      </c>
      <c r="B29" s="4" t="inlineStr">
        <is>
          <t>Data point (Cat6)</t>
        </is>
      </c>
      <c r="C29" s="4" t="inlineStr">
        <is>
          <t>1'-0"</t>
        </is>
      </c>
      <c r="D29" s="4" t="inlineStr">
        <is>
          <t>Small bedroom</t>
        </is>
      </c>
      <c r="E29" s="4" t="n">
        <v>25.4</v>
      </c>
      <c r="F29" s="4" t="n">
        <v>15.9</v>
      </c>
      <c r="G29" s="4" t="inlineStr">
        <is>
          <t>study table</t>
        </is>
      </c>
    </row>
    <row r="30">
      <c r="A30" s="4" t="inlineStr">
        <is>
          <t>AC</t>
        </is>
      </c>
      <c r="B30" s="4" t="inlineStr">
        <is>
          <t>AC indoor unit (16 A socket, sleeve, drain)</t>
        </is>
      </c>
      <c r="C30" s="4" t="inlineStr">
        <is>
          <t>7'-6"</t>
        </is>
      </c>
      <c r="D30" s="4" t="inlineStr">
        <is>
          <t>Small bedroom</t>
        </is>
      </c>
      <c r="E30" s="4" t="n">
        <v>17.4</v>
      </c>
      <c r="F30" s="4" t="n">
        <v>23</v>
      </c>
      <c r="G30" s="4" t="inlineStr">
        <is>
          <t>west wall, throws east toward the bed foot</t>
        </is>
      </c>
    </row>
    <row r="31">
      <c r="A31" s="4" t="inlineStr">
        <is>
          <t>ODU</t>
        </is>
      </c>
      <c r="B31" s="4" t="inlineStr">
        <is>
          <t>AC outdoor unit bracket</t>
        </is>
      </c>
      <c r="C31" s="4" t="inlineStr">
        <is>
          <t>7'-0" outside</t>
        </is>
      </c>
      <c r="D31" s="4" t="inlineStr">
        <is>
          <t>Small bedroom</t>
        </is>
      </c>
      <c r="E31" s="4" t="n">
        <v>16.6</v>
      </c>
      <c r="F31" s="4" t="n">
        <v>22.5</v>
      </c>
      <c r="G31" s="4" t="inlineStr">
        <is>
          <t>west wall, under the eave</t>
        </is>
      </c>
    </row>
    <row r="32">
      <c r="A32" s="4" t="inlineStr">
        <is>
          <t>L</t>
        </is>
      </c>
      <c r="B32" s="4" t="inlineStr">
        <is>
          <t>Ceiling light</t>
        </is>
      </c>
      <c r="C32" s="4" t="inlineStr">
        <is>
          <t>ceiling</t>
        </is>
      </c>
      <c r="D32" s="4" t="inlineStr">
        <is>
          <t>Lobby</t>
        </is>
      </c>
      <c r="E32" s="4" t="n">
        <v>39</v>
      </c>
      <c r="F32" s="4" t="n">
        <v>11.8</v>
      </c>
      <c r="G32" s="4" t="inlineStr"/>
    </row>
    <row r="33">
      <c r="A33" s="4" t="inlineStr">
        <is>
          <t>S</t>
        </is>
      </c>
      <c r="B33" s="4" t="inlineStr">
        <is>
          <t>Switchboard</t>
        </is>
      </c>
      <c r="C33" s="4" t="inlineStr">
        <is>
          <t>4'-0"</t>
        </is>
      </c>
      <c r="D33" s="4" t="inlineStr">
        <is>
          <t>Lobby</t>
        </is>
      </c>
      <c r="E33" s="4" t="n">
        <v>43.6</v>
      </c>
      <c r="F33" s="4" t="n">
        <v>13.6</v>
      </c>
      <c r="G33" s="4" t="inlineStr">
        <is>
          <t>lobby and stair, 2-way with the landing</t>
        </is>
      </c>
    </row>
    <row r="34">
      <c r="A34" s="4" t="inlineStr">
        <is>
          <t>DB</t>
        </is>
      </c>
      <c r="B34" s="4" t="inlineStr">
        <is>
          <t>Distribution board</t>
        </is>
      </c>
      <c r="C34" s="4" t="inlineStr">
        <is>
          <t>5'-0" to top</t>
        </is>
      </c>
      <c r="D34" s="4" t="inlineStr">
        <is>
          <t>Stair and passage</t>
        </is>
      </c>
      <c r="E34" s="4" t="n">
        <v>38</v>
      </c>
      <c r="F34" s="4" t="n">
        <v>15.9</v>
      </c>
      <c r="G34" s="4" t="inlineStr">
        <is>
          <t>in the under-stair cupboard, facing the lobby (central, dry)</t>
        </is>
      </c>
    </row>
    <row r="35">
      <c r="A35" s="4" t="inlineStr">
        <is>
          <t>U</t>
        </is>
      </c>
      <c r="B35" s="4" t="inlineStr">
        <is>
          <t>Inverter (UPS) socket</t>
        </is>
      </c>
      <c r="C35" s="4" t="inlineStr">
        <is>
          <t>1'-0"</t>
        </is>
      </c>
      <c r="D35" s="4" t="inlineStr">
        <is>
          <t>Stair and passage</t>
        </is>
      </c>
      <c r="E35" s="4" t="n">
        <v>37</v>
      </c>
      <c r="F35" s="4" t="n">
        <v>15.9</v>
      </c>
      <c r="G35" s="4" t="inlineStr">
        <is>
          <t>router (central)</t>
        </is>
      </c>
    </row>
    <row r="36">
      <c r="A36" s="4" t="inlineStr">
        <is>
          <t>INV</t>
        </is>
      </c>
      <c r="B36" s="4" t="inlineStr">
        <is>
          <t>Inverter + battery</t>
        </is>
      </c>
      <c r="C36" s="4" t="inlineStr">
        <is>
          <t>floor</t>
        </is>
      </c>
      <c r="D36" s="4" t="inlineStr">
        <is>
          <t>Stair and passage</t>
        </is>
      </c>
      <c r="E36" s="4" t="n">
        <v>39.4</v>
      </c>
      <c r="F36" s="4" t="n">
        <v>16.8</v>
      </c>
      <c r="G36" s="4" t="inlineStr">
        <is>
          <t>lithium inverter in the ventilated under-stair cupboard</t>
        </is>
      </c>
    </row>
    <row r="37">
      <c r="A37" s="4" t="inlineStr">
        <is>
          <t>WL</t>
        </is>
      </c>
      <c r="B37" s="4" t="inlineStr">
        <is>
          <t>Wall light / mirror light</t>
        </is>
      </c>
      <c r="C37" s="4" t="inlineStr">
        <is>
          <t>6'-6"</t>
        </is>
      </c>
      <c r="D37" s="4" t="inlineStr">
        <is>
          <t>Stair and passage</t>
        </is>
      </c>
      <c r="E37" s="4" t="n">
        <v>40.2</v>
      </c>
      <c r="F37" s="4" t="n">
        <v>24.6</v>
      </c>
      <c r="G37" s="4" t="inlineStr">
        <is>
          <t>at the half landing</t>
        </is>
      </c>
    </row>
    <row r="38">
      <c r="A38" s="4" t="inlineStr">
        <is>
          <t>L</t>
        </is>
      </c>
      <c r="B38" s="4" t="inlineStr">
        <is>
          <t>Ceiling light</t>
        </is>
      </c>
      <c r="C38" s="4" t="inlineStr">
        <is>
          <t>ceiling</t>
        </is>
      </c>
      <c r="D38" s="4" t="inlineStr">
        <is>
          <t>Stair and passage</t>
        </is>
      </c>
      <c r="E38" s="4" t="n">
        <v>32.25</v>
      </c>
      <c r="F38" s="4" t="n">
        <v>15.5</v>
      </c>
      <c r="G38" s="4" t="inlineStr">
        <is>
          <t>passage</t>
        </is>
      </c>
    </row>
    <row r="39">
      <c r="A39" s="4" t="inlineStr">
        <is>
          <t>L</t>
        </is>
      </c>
      <c r="B39" s="4" t="inlineStr">
        <is>
          <t>Ceiling light</t>
        </is>
      </c>
      <c r="C39" s="4" t="inlineStr">
        <is>
          <t>ceiling</t>
        </is>
      </c>
      <c r="D39" s="4" t="inlineStr">
        <is>
          <t>Store</t>
        </is>
      </c>
      <c r="E39" s="4" t="n">
        <v>46</v>
      </c>
      <c r="F39" s="4" t="n">
        <v>5.8</v>
      </c>
      <c r="G39" s="4" t="inlineStr"/>
    </row>
    <row r="40">
      <c r="A40" s="4" t="inlineStr">
        <is>
          <t>S</t>
        </is>
      </c>
      <c r="B40" s="4" t="inlineStr">
        <is>
          <t>Switchboard</t>
        </is>
      </c>
      <c r="C40" s="4" t="inlineStr">
        <is>
          <t>4'-0"</t>
        </is>
      </c>
      <c r="D40" s="4" t="inlineStr">
        <is>
          <t>Dining</t>
        </is>
      </c>
      <c r="E40" s="4" t="n">
        <v>47.6</v>
      </c>
      <c r="F40" s="4" t="n">
        <v>7.9</v>
      </c>
      <c r="G40" s="4" t="inlineStr">
        <is>
          <t>store light, outside the door</t>
        </is>
      </c>
    </row>
    <row r="41">
      <c r="A41" s="4" t="inlineStr">
        <is>
          <t>L</t>
        </is>
      </c>
      <c r="B41" s="4" t="inlineStr">
        <is>
          <t>Ceiling light</t>
        </is>
      </c>
      <c r="C41" s="4" t="inlineStr">
        <is>
          <t>ceiling</t>
        </is>
      </c>
      <c r="D41" s="4" t="inlineStr">
        <is>
          <t>Wet area</t>
        </is>
      </c>
      <c r="E41" s="4" t="n">
        <v>52</v>
      </c>
      <c r="F41" s="4" t="n">
        <v>5</v>
      </c>
      <c r="G41" s="4" t="inlineStr"/>
    </row>
    <row r="42">
      <c r="A42" s="4" t="inlineStr">
        <is>
          <t>P16</t>
        </is>
      </c>
      <c r="B42" s="4" t="inlineStr">
        <is>
          <t>16 A power socket</t>
        </is>
      </c>
      <c r="C42" s="4" t="inlineStr">
        <is>
          <t>varies</t>
        </is>
      </c>
      <c r="D42" s="4" t="inlineStr">
        <is>
          <t>Wet area</t>
        </is>
      </c>
      <c r="E42" s="4" t="n">
        <v>48.3</v>
      </c>
      <c r="F42" s="4" t="n">
        <v>7.2</v>
      </c>
      <c r="G42" s="4" t="inlineStr">
        <is>
          <t>washing machine</t>
        </is>
      </c>
    </row>
    <row r="43">
      <c r="A43" s="4" t="inlineStr">
        <is>
          <t>P</t>
        </is>
      </c>
      <c r="B43" s="4" t="inlineStr">
        <is>
          <t>6 A socket</t>
        </is>
      </c>
      <c r="C43" s="4" t="inlineStr">
        <is>
          <t>1'-0"</t>
        </is>
      </c>
      <c r="D43" s="4" t="inlineStr">
        <is>
          <t>Wet area</t>
        </is>
      </c>
      <c r="E43" s="4" t="n">
        <v>54.6</v>
      </c>
      <c r="F43" s="4" t="n">
        <v>5.6</v>
      </c>
      <c r="G43" s="4" t="inlineStr">
        <is>
          <t>utility, weatherproof</t>
        </is>
      </c>
    </row>
    <row r="44">
      <c r="A44" s="4" t="inlineStr">
        <is>
          <t>L</t>
        </is>
      </c>
      <c r="B44" s="4" t="inlineStr">
        <is>
          <t>Ceiling light</t>
        </is>
      </c>
      <c r="C44" s="4" t="inlineStr">
        <is>
          <t>ceiling</t>
        </is>
      </c>
      <c r="D44" s="4" t="inlineStr">
        <is>
          <t>Dining</t>
        </is>
      </c>
      <c r="E44" s="4" t="n">
        <v>49</v>
      </c>
      <c r="F44" s="4" t="n">
        <v>10</v>
      </c>
      <c r="G44" s="4" t="inlineStr">
        <is>
          <t>pendant over a future dining table</t>
        </is>
      </c>
    </row>
    <row r="45">
      <c r="A45" s="4" t="inlineStr">
        <is>
          <t>S</t>
        </is>
      </c>
      <c r="B45" s="4" t="inlineStr">
        <is>
          <t>Switchboard</t>
        </is>
      </c>
      <c r="C45" s="4" t="inlineStr">
        <is>
          <t>4'-0"</t>
        </is>
      </c>
      <c r="D45" s="4" t="inlineStr">
        <is>
          <t>Dining</t>
        </is>
      </c>
      <c r="E45" s="4" t="n">
        <v>44.4</v>
      </c>
      <c r="F45" s="4" t="n">
        <v>9.4</v>
      </c>
      <c r="G45" s="4" t="inlineStr">
        <is>
          <t>dining and wet area</t>
        </is>
      </c>
    </row>
    <row r="46">
      <c r="A46" s="4" t="inlineStr">
        <is>
          <t>L</t>
        </is>
      </c>
      <c r="B46" s="4" t="inlineStr">
        <is>
          <t>Ceiling light</t>
        </is>
      </c>
      <c r="C46" s="4" t="inlineStr">
        <is>
          <t>ceiling</t>
        </is>
      </c>
      <c r="D46" s="4" t="inlineStr">
        <is>
          <t>Kitchen</t>
        </is>
      </c>
      <c r="E46" s="4" t="n">
        <v>61</v>
      </c>
      <c r="F46" s="4" t="n">
        <v>8</v>
      </c>
      <c r="G46" s="4" t="inlineStr"/>
    </row>
    <row r="47">
      <c r="A47" s="4" t="inlineStr">
        <is>
          <t>WL</t>
        </is>
      </c>
      <c r="B47" s="4" t="inlineStr">
        <is>
          <t>Wall light / mirror light</t>
        </is>
      </c>
      <c r="C47" s="4" t="inlineStr">
        <is>
          <t>6'-6"</t>
        </is>
      </c>
      <c r="D47" s="4" t="inlineStr">
        <is>
          <t>Kitchen</t>
        </is>
      </c>
      <c r="E47" s="4" t="n">
        <v>60.5</v>
      </c>
      <c r="F47" s="4" t="n">
        <v>3.5</v>
      </c>
      <c r="G47" s="4" t="inlineStr">
        <is>
          <t>under-cabinet</t>
        </is>
      </c>
    </row>
    <row r="48">
      <c r="A48" s="4" t="inlineStr">
        <is>
          <t>WL</t>
        </is>
      </c>
      <c r="B48" s="4" t="inlineStr">
        <is>
          <t>Wall light / mirror light</t>
        </is>
      </c>
      <c r="C48" s="4" t="inlineStr">
        <is>
          <t>6'-6"</t>
        </is>
      </c>
      <c r="D48" s="4" t="inlineStr">
        <is>
          <t>Kitchen</t>
        </is>
      </c>
      <c r="E48" s="4" t="n">
        <v>66.5</v>
      </c>
      <c r="F48" s="4" t="n">
        <v>9.6</v>
      </c>
      <c r="G48" s="4" t="inlineStr">
        <is>
          <t>under-cabinet</t>
        </is>
      </c>
    </row>
    <row r="49">
      <c r="A49" s="4" t="inlineStr">
        <is>
          <t>CH</t>
        </is>
      </c>
      <c r="B49" s="4" t="inlineStr">
        <is>
          <t>Kitchen chimney point (16 A)</t>
        </is>
      </c>
      <c r="C49" s="4" t="inlineStr">
        <is>
          <t>7'-0"</t>
        </is>
      </c>
      <c r="D49" s="4" t="inlineStr">
        <is>
          <t>Kitchen</t>
        </is>
      </c>
      <c r="E49" s="4" t="n">
        <v>66.59999999999999</v>
      </c>
      <c r="F49" s="4" t="n">
        <v>7.5</v>
      </c>
      <c r="G49" s="4" t="inlineStr">
        <is>
          <t>3 ft chimney on solid wall, duct out through the east wall</t>
        </is>
      </c>
    </row>
    <row r="50">
      <c r="A50" s="4" t="inlineStr">
        <is>
          <t>PC</t>
        </is>
      </c>
      <c r="B50" s="4" t="inlineStr">
        <is>
          <t>6 A socket at counter</t>
        </is>
      </c>
      <c r="C50" s="4" t="inlineStr">
        <is>
          <t>3'-6"</t>
        </is>
      </c>
      <c r="D50" s="4" t="inlineStr">
        <is>
          <t>Kitchen</t>
        </is>
      </c>
      <c r="E50" s="4" t="n">
        <v>56</v>
      </c>
      <c r="F50" s="4" t="n">
        <v>3.5</v>
      </c>
      <c r="G50" s="4" t="inlineStr"/>
    </row>
    <row r="51">
      <c r="A51" s="4" t="inlineStr">
        <is>
          <t>PC</t>
        </is>
      </c>
      <c r="B51" s="4" t="inlineStr">
        <is>
          <t>6 A socket at counter</t>
        </is>
      </c>
      <c r="C51" s="4" t="inlineStr">
        <is>
          <t>3'-6"</t>
        </is>
      </c>
      <c r="D51" s="4" t="inlineStr">
        <is>
          <t>Kitchen</t>
        </is>
      </c>
      <c r="E51" s="4" t="n">
        <v>57.8</v>
      </c>
      <c r="F51" s="4" t="n">
        <v>3.5</v>
      </c>
      <c r="G51" s="4" t="inlineStr">
        <is>
          <t>microwave / OTG</t>
        </is>
      </c>
    </row>
    <row r="52">
      <c r="A52" s="4" t="inlineStr">
        <is>
          <t>PC</t>
        </is>
      </c>
      <c r="B52" s="4" t="inlineStr">
        <is>
          <t>6 A socket at counter</t>
        </is>
      </c>
      <c r="C52" s="4" t="inlineStr">
        <is>
          <t>3'-6"</t>
        </is>
      </c>
      <c r="D52" s="4" t="inlineStr">
        <is>
          <t>Kitchen</t>
        </is>
      </c>
      <c r="E52" s="4" t="n">
        <v>65.3</v>
      </c>
      <c r="F52" s="4" t="n">
        <v>3.5</v>
      </c>
      <c r="G52" s="4" t="inlineStr">
        <is>
          <t>mixer</t>
        </is>
      </c>
    </row>
    <row r="53">
      <c r="A53" s="4" t="inlineStr">
        <is>
          <t>PC</t>
        </is>
      </c>
      <c r="B53" s="4" t="inlineStr">
        <is>
          <t>6 A socket at counter</t>
        </is>
      </c>
      <c r="C53" s="4" t="inlineStr">
        <is>
          <t>3'-6"</t>
        </is>
      </c>
      <c r="D53" s="4" t="inlineStr">
        <is>
          <t>Kitchen</t>
        </is>
      </c>
      <c r="E53" s="4" t="n">
        <v>66.59999999999999</v>
      </c>
      <c r="F53" s="4" t="n">
        <v>5.6</v>
      </c>
      <c r="G53" s="4" t="inlineStr"/>
    </row>
    <row r="54">
      <c r="A54" s="4" t="inlineStr">
        <is>
          <t>PC</t>
        </is>
      </c>
      <c r="B54" s="4" t="inlineStr">
        <is>
          <t>6 A socket at counter</t>
        </is>
      </c>
      <c r="C54" s="4" t="inlineStr">
        <is>
          <t>3'-6"</t>
        </is>
      </c>
      <c r="D54" s="4" t="inlineStr">
        <is>
          <t>Kitchen</t>
        </is>
      </c>
      <c r="E54" s="4" t="n">
        <v>66.59999999999999</v>
      </c>
      <c r="F54" s="4" t="n">
        <v>10.5</v>
      </c>
      <c r="G54" s="4" t="inlineStr"/>
    </row>
    <row r="55">
      <c r="A55" s="4" t="inlineStr">
        <is>
          <t>PC</t>
        </is>
      </c>
      <c r="B55" s="4" t="inlineStr">
        <is>
          <t>6 A socket at counter</t>
        </is>
      </c>
      <c r="C55" s="4" t="inlineStr">
        <is>
          <t>3'-6"</t>
        </is>
      </c>
      <c r="D55" s="4" t="inlineStr">
        <is>
          <t>Kitchen</t>
        </is>
      </c>
      <c r="E55" s="4" t="n">
        <v>59.6</v>
      </c>
      <c r="F55" s="4" t="n">
        <v>3.5</v>
      </c>
      <c r="G55" s="4" t="inlineStr">
        <is>
          <t>RO purifier, by sink</t>
        </is>
      </c>
    </row>
    <row r="56">
      <c r="A56" s="4" t="inlineStr">
        <is>
          <t>P16</t>
        </is>
      </c>
      <c r="B56" s="4" t="inlineStr">
        <is>
          <t>16 A power socket</t>
        </is>
      </c>
      <c r="C56" s="4" t="inlineStr">
        <is>
          <t>varies</t>
        </is>
      </c>
      <c r="D56" s="4" t="inlineStr">
        <is>
          <t>Kitchen</t>
        </is>
      </c>
      <c r="E56" s="4" t="n">
        <v>59.6</v>
      </c>
      <c r="F56" s="4" t="n">
        <v>12.1</v>
      </c>
      <c r="G56" s="4" t="inlineStr">
        <is>
          <t>refrigerator</t>
        </is>
      </c>
    </row>
    <row r="57">
      <c r="A57" s="4" t="inlineStr">
        <is>
          <t>S</t>
        </is>
      </c>
      <c r="B57" s="4" t="inlineStr">
        <is>
          <t>Switchboard</t>
        </is>
      </c>
      <c r="C57" s="4" t="inlineStr">
        <is>
          <t>4'-0"</t>
        </is>
      </c>
      <c r="D57" s="4" t="inlineStr">
        <is>
          <t>Kitchen</t>
        </is>
      </c>
      <c r="E57" s="4" t="n">
        <v>55.4</v>
      </c>
      <c r="F57" s="4" t="n">
        <v>8.199999999999999</v>
      </c>
      <c r="G57" s="4" t="inlineStr">
        <is>
          <t>beside the entry, latch side</t>
        </is>
      </c>
    </row>
    <row r="58">
      <c r="A58" s="4" t="inlineStr">
        <is>
          <t>L</t>
        </is>
      </c>
      <c r="B58" s="4" t="inlineStr">
        <is>
          <t>Ceiling light</t>
        </is>
      </c>
      <c r="C58" s="4" t="inlineStr">
        <is>
          <t>ceiling</t>
        </is>
      </c>
      <c r="D58" s="4" t="inlineStr">
        <is>
          <t>Pooja</t>
        </is>
      </c>
      <c r="E58" s="4" t="n">
        <v>59</v>
      </c>
      <c r="F58" s="4" t="n">
        <v>14.5</v>
      </c>
      <c r="G58" s="4" t="inlineStr"/>
    </row>
    <row r="59">
      <c r="A59" s="4" t="inlineStr">
        <is>
          <t>WL</t>
        </is>
      </c>
      <c r="B59" s="4" t="inlineStr">
        <is>
          <t>Wall light / mirror light</t>
        </is>
      </c>
      <c r="C59" s="4" t="inlineStr">
        <is>
          <t>6'-6"</t>
        </is>
      </c>
      <c r="D59" s="4" t="inlineStr">
        <is>
          <t>Pooja</t>
        </is>
      </c>
      <c r="E59" s="4" t="n">
        <v>60.4</v>
      </c>
      <c r="F59" s="4" t="n">
        <v>14.5</v>
      </c>
      <c r="G59" s="4" t="inlineStr">
        <is>
          <t>lamp niche above the idols</t>
        </is>
      </c>
    </row>
    <row r="60">
      <c r="A60" s="4" t="inlineStr">
        <is>
          <t>P</t>
        </is>
      </c>
      <c r="B60" s="4" t="inlineStr">
        <is>
          <t>6 A socket</t>
        </is>
      </c>
      <c r="C60" s="4" t="inlineStr">
        <is>
          <t>1'-0"</t>
        </is>
      </c>
      <c r="D60" s="4" t="inlineStr">
        <is>
          <t>Pooja</t>
        </is>
      </c>
      <c r="E60" s="4" t="n">
        <v>57.4</v>
      </c>
      <c r="F60" s="4" t="n">
        <v>16.2</v>
      </c>
      <c r="G60" s="4" t="inlineStr"/>
    </row>
    <row r="61">
      <c r="A61" s="4" t="inlineStr">
        <is>
          <t>S</t>
        </is>
      </c>
      <c r="B61" s="4" t="inlineStr">
        <is>
          <t>Switchboard</t>
        </is>
      </c>
      <c r="C61" s="4" t="inlineStr">
        <is>
          <t>4'-0"</t>
        </is>
      </c>
      <c r="D61" s="4" t="inlineStr">
        <is>
          <t>Living</t>
        </is>
      </c>
      <c r="E61" s="4" t="n">
        <v>56.6</v>
      </c>
      <c r="F61" s="4" t="n">
        <v>16.9</v>
      </c>
      <c r="G61" s="4" t="inlineStr">
        <is>
          <t>pooja switches outside, living side</t>
        </is>
      </c>
    </row>
    <row r="62">
      <c r="A62" s="4" t="inlineStr">
        <is>
          <t>F</t>
        </is>
      </c>
      <c r="B62" s="4" t="inlineStr">
        <is>
          <t>Ceiling fan point</t>
        </is>
      </c>
      <c r="C62" s="4" t="inlineStr">
        <is>
          <t>ceiling</t>
        </is>
      </c>
      <c r="D62" s="4" t="inlineStr">
        <is>
          <t>Living</t>
        </is>
      </c>
      <c r="E62" s="4" t="n">
        <v>52</v>
      </c>
      <c r="F62" s="4" t="n">
        <v>18</v>
      </c>
      <c r="G62" s="4" t="inlineStr"/>
    </row>
    <row r="63">
      <c r="A63" s="4" t="inlineStr">
        <is>
          <t>L</t>
        </is>
      </c>
      <c r="B63" s="4" t="inlineStr">
        <is>
          <t>Ceiling light</t>
        </is>
      </c>
      <c r="C63" s="4" t="inlineStr">
        <is>
          <t>ceiling</t>
        </is>
      </c>
      <c r="D63" s="4" t="inlineStr">
        <is>
          <t>Living</t>
        </is>
      </c>
      <c r="E63" s="4" t="n">
        <v>48.5</v>
      </c>
      <c r="F63" s="4" t="n">
        <v>22</v>
      </c>
      <c r="G63" s="4" t="inlineStr">
        <is>
          <t>pendant</t>
        </is>
      </c>
    </row>
    <row r="64">
      <c r="A64" s="4" t="inlineStr">
        <is>
          <t>L</t>
        </is>
      </c>
      <c r="B64" s="4" t="inlineStr">
        <is>
          <t>Ceiling light</t>
        </is>
      </c>
      <c r="C64" s="4" t="inlineStr">
        <is>
          <t>ceiling</t>
        </is>
      </c>
      <c r="D64" s="4" t="inlineStr">
        <is>
          <t>Living</t>
        </is>
      </c>
      <c r="E64" s="4" t="n">
        <v>56.5</v>
      </c>
      <c r="F64" s="4" t="n">
        <v>15.5</v>
      </c>
      <c r="G64" s="4" t="inlineStr">
        <is>
          <t>pendant</t>
        </is>
      </c>
    </row>
    <row r="65">
      <c r="A65" s="4" t="inlineStr">
        <is>
          <t>WL</t>
        </is>
      </c>
      <c r="B65" s="4" t="inlineStr">
        <is>
          <t>Wall light / mirror light</t>
        </is>
      </c>
      <c r="C65" s="4" t="inlineStr">
        <is>
          <t>6'-6"</t>
        </is>
      </c>
      <c r="D65" s="4" t="inlineStr">
        <is>
          <t>Living</t>
        </is>
      </c>
      <c r="E65" s="4" t="n">
        <v>44.4</v>
      </c>
      <c r="F65" s="4" t="n">
        <v>18.9</v>
      </c>
      <c r="G65" s="4" t="inlineStr">
        <is>
          <t>inside the lamp niche</t>
        </is>
      </c>
    </row>
    <row r="66">
      <c r="A66" s="4" t="inlineStr">
        <is>
          <t>TV</t>
        </is>
      </c>
      <c r="B66" s="4" t="inlineStr">
        <is>
          <t>TV + data point</t>
        </is>
      </c>
      <c r="C66" s="4" t="inlineStr">
        <is>
          <t>3'-6"</t>
        </is>
      </c>
      <c r="D66" s="4" t="inlineStr">
        <is>
          <t>Living</t>
        </is>
      </c>
      <c r="E66" s="4" t="n">
        <v>44.4</v>
      </c>
      <c r="F66" s="4" t="n">
        <v>22.4</v>
      </c>
      <c r="G66" s="4" t="inlineStr">
        <is>
          <t>TV wall: 2 sockets + data + HDMI conduit to the unit</t>
        </is>
      </c>
    </row>
    <row r="67">
      <c r="A67" s="4" t="inlineStr">
        <is>
          <t>P</t>
        </is>
      </c>
      <c r="B67" s="4" t="inlineStr">
        <is>
          <t>6 A socket</t>
        </is>
      </c>
      <c r="C67" s="4" t="inlineStr">
        <is>
          <t>1'-0"</t>
        </is>
      </c>
      <c r="D67" s="4" t="inlineStr">
        <is>
          <t>Living</t>
        </is>
      </c>
      <c r="E67" s="4" t="n">
        <v>44.4</v>
      </c>
      <c r="F67" s="4" t="n">
        <v>21</v>
      </c>
      <c r="G67" s="4" t="inlineStr">
        <is>
          <t>TV unit</t>
        </is>
      </c>
    </row>
    <row r="68">
      <c r="A68" s="4" t="inlineStr">
        <is>
          <t>P</t>
        </is>
      </c>
      <c r="B68" s="4" t="inlineStr">
        <is>
          <t>6 A socket</t>
        </is>
      </c>
      <c r="C68" s="4" t="inlineStr">
        <is>
          <t>1'-0"</t>
        </is>
      </c>
      <c r="D68" s="4" t="inlineStr">
        <is>
          <t>Living</t>
        </is>
      </c>
      <c r="E68" s="4" t="n">
        <v>55.4</v>
      </c>
      <c r="F68" s="4" t="n">
        <v>19.4</v>
      </c>
      <c r="G68" s="4" t="inlineStr">
        <is>
          <t>floor socket, sofa end</t>
        </is>
      </c>
    </row>
    <row r="69">
      <c r="A69" s="4" t="inlineStr">
        <is>
          <t>S</t>
        </is>
      </c>
      <c r="B69" s="4" t="inlineStr">
        <is>
          <t>Switchboard</t>
        </is>
      </c>
      <c r="C69" s="4" t="inlineStr">
        <is>
          <t>4'-0"</t>
        </is>
      </c>
      <c r="D69" s="4" t="inlineStr">
        <is>
          <t>Living</t>
        </is>
      </c>
      <c r="E69" s="4" t="n">
        <v>60.6</v>
      </c>
      <c r="F69" s="4" t="n">
        <v>21</v>
      </c>
      <c r="G69" s="4" t="inlineStr">
        <is>
          <t>main switch at door</t>
        </is>
      </c>
    </row>
    <row r="70">
      <c r="A70" s="4" t="inlineStr">
        <is>
          <t>L</t>
        </is>
      </c>
      <c r="B70" s="4" t="inlineStr">
        <is>
          <t>Ceiling light</t>
        </is>
      </c>
      <c r="C70" s="4" t="inlineStr">
        <is>
          <t>ceiling</t>
        </is>
      </c>
      <c r="D70" s="4" t="inlineStr">
        <is>
          <t>Poomukham (verandah)</t>
        </is>
      </c>
      <c r="E70" s="4" t="n">
        <v>64</v>
      </c>
      <c r="F70" s="4" t="n">
        <v>15.5</v>
      </c>
      <c r="G70" s="4" t="inlineStr"/>
    </row>
    <row r="71">
      <c r="A71" s="4" t="inlineStr">
        <is>
          <t>L</t>
        </is>
      </c>
      <c r="B71" s="4" t="inlineStr">
        <is>
          <t>Ceiling light</t>
        </is>
      </c>
      <c r="C71" s="4" t="inlineStr">
        <is>
          <t>ceiling</t>
        </is>
      </c>
      <c r="D71" s="4" t="inlineStr">
        <is>
          <t>Poomukham (verandah)</t>
        </is>
      </c>
      <c r="E71" s="4" t="n">
        <v>64</v>
      </c>
      <c r="F71" s="4" t="n">
        <v>22</v>
      </c>
      <c r="G71" s="4" t="inlineStr"/>
    </row>
    <row r="72">
      <c r="A72" s="4" t="inlineStr">
        <is>
          <t>BELL</t>
        </is>
      </c>
      <c r="B72" s="4" t="inlineStr">
        <is>
          <t>Bell push</t>
        </is>
      </c>
      <c r="C72" s="4" t="inlineStr">
        <is>
          <t>4'-6"</t>
        </is>
      </c>
      <c r="D72" s="4" t="inlineStr">
        <is>
          <t>Poomukham (verandah)</t>
        </is>
      </c>
      <c r="E72" s="4" t="n">
        <v>61.4</v>
      </c>
      <c r="F72" s="4" t="n">
        <v>21</v>
      </c>
      <c r="G72" s="4" t="inlineStr"/>
    </row>
    <row r="73">
      <c r="A73" s="4" t="inlineStr">
        <is>
          <t>CAM</t>
        </is>
      </c>
      <c r="B73" s="4" t="inlineStr">
        <is>
          <t>CCTV point</t>
        </is>
      </c>
      <c r="C73" s="4" t="inlineStr">
        <is>
          <t>8'-0"</t>
        </is>
      </c>
      <c r="D73" s="4" t="inlineStr">
        <is>
          <t>Poomukham (verandah)</t>
        </is>
      </c>
      <c r="E73" s="4" t="n">
        <v>66.5</v>
      </c>
      <c r="F73" s="4" t="n">
        <v>24.6</v>
      </c>
      <c r="G73" s="4" t="inlineStr">
        <is>
          <t>covers gate and door</t>
        </is>
      </c>
    </row>
    <row r="74">
      <c r="A74" s="4" t="inlineStr">
        <is>
          <t>P</t>
        </is>
      </c>
      <c r="B74" s="4" t="inlineStr">
        <is>
          <t>6 A socket</t>
        </is>
      </c>
      <c r="C74" s="4" t="inlineStr">
        <is>
          <t>1'-0"</t>
        </is>
      </c>
      <c r="D74" s="4" t="inlineStr">
        <is>
          <t>Poomukham (verandah)</t>
        </is>
      </c>
      <c r="E74" s="4" t="n">
        <v>61.4</v>
      </c>
      <c r="F74" s="4" t="n">
        <v>24</v>
      </c>
      <c r="G74" s="4" t="inlineStr">
        <is>
          <t>outdoor, weatherproof</t>
        </is>
      </c>
    </row>
    <row r="75">
      <c r="A75" s="4" t="inlineStr">
        <is>
          <t>S</t>
        </is>
      </c>
      <c r="B75" s="4" t="inlineStr">
        <is>
          <t>Switchboard</t>
        </is>
      </c>
      <c r="C75" s="4" t="inlineStr">
        <is>
          <t>4'-0"</t>
        </is>
      </c>
      <c r="D75" s="4" t="inlineStr">
        <is>
          <t>Poomukham (verandah)</t>
        </is>
      </c>
      <c r="E75" s="4" t="n">
        <v>61.4</v>
      </c>
      <c r="F75" s="4" t="n">
        <v>21.5</v>
      </c>
      <c r="G75" s="4" t="inlineStr"/>
    </row>
    <row r="76">
      <c r="A76" s="4" t="inlineStr">
        <is>
          <t>GL</t>
        </is>
      </c>
      <c r="B76" s="4" t="inlineStr">
        <is>
          <t>Outdoor / gate light</t>
        </is>
      </c>
      <c r="C76" s="4" t="inlineStr">
        <is>
          <t>7'-0"</t>
        </is>
      </c>
      <c r="D76" s="4" t="inlineStr">
        <is>
          <t>Poomukham (verandah)</t>
        </is>
      </c>
      <c r="E76" s="4" t="n">
        <v>66.40000000000001</v>
      </c>
      <c r="F76" s="4" t="n">
        <v>16.4</v>
      </c>
      <c r="G76" s="4" t="inlineStr">
        <is>
          <t>uplight at the pillar base</t>
        </is>
      </c>
    </row>
    <row r="77">
      <c r="A77" s="4" t="inlineStr">
        <is>
          <t>GL</t>
        </is>
      </c>
      <c r="B77" s="4" t="inlineStr">
        <is>
          <t>Outdoor / gate light</t>
        </is>
      </c>
      <c r="C77" s="4" t="inlineStr">
        <is>
          <t>7'-0"</t>
        </is>
      </c>
      <c r="D77" s="4" t="inlineStr">
        <is>
          <t>Poomukham (verandah)</t>
        </is>
      </c>
      <c r="E77" s="4" t="n">
        <v>66.40000000000001</v>
      </c>
      <c r="F77" s="4" t="n">
        <v>21.8</v>
      </c>
      <c r="G77" s="4" t="inlineStr">
        <is>
          <t>uplight at the pillar base</t>
        </is>
      </c>
    </row>
    <row r="78">
      <c r="A78" s="4" t="inlineStr">
        <is>
          <t>WL</t>
        </is>
      </c>
      <c r="B78" s="4" t="inlineStr">
        <is>
          <t>Wall light / mirror light</t>
        </is>
      </c>
      <c r="C78" s="4" t="inlineStr">
        <is>
          <t>6'-6"</t>
        </is>
      </c>
      <c r="D78" s="4" t="inlineStr">
        <is>
          <t>Poomukham (verandah)</t>
        </is>
      </c>
      <c r="E78" s="4" t="n">
        <v>61.4</v>
      </c>
      <c r="F78" s="4" t="n">
        <v>17.1</v>
      </c>
      <c r="G78" s="4" t="inlineStr">
        <is>
          <t>warm lantern beside the main door</t>
        </is>
      </c>
    </row>
    <row r="79">
      <c r="A79" s="4" t="inlineStr">
        <is>
          <t>MTR</t>
        </is>
      </c>
      <c r="B79" s="4" t="inlineStr">
        <is>
          <t>Meter at gate</t>
        </is>
      </c>
      <c r="C79" s="4" t="inlineStr">
        <is>
          <t>5'-0"</t>
        </is>
      </c>
      <c r="D79" s="4" t="inlineStr">
        <is>
          <t>Site</t>
        </is>
      </c>
      <c r="E79" s="4" t="n">
        <v>74.59999999999999</v>
      </c>
      <c r="F79" s="4" t="n">
        <v>23.2</v>
      </c>
      <c r="G79" s="4" t="inlineStr">
        <is>
          <t>meter in compound wall by gate</t>
        </is>
      </c>
    </row>
    <row r="80">
      <c r="A80" s="4" t="inlineStr">
        <is>
          <t>GL</t>
        </is>
      </c>
      <c r="B80" s="4" t="inlineStr">
        <is>
          <t>Outdoor / gate light</t>
        </is>
      </c>
      <c r="C80" s="4" t="inlineStr">
        <is>
          <t>7'-0"</t>
        </is>
      </c>
      <c r="D80" s="4" t="inlineStr">
        <is>
          <t>Site</t>
        </is>
      </c>
      <c r="E80" s="4" t="n">
        <v>74.7</v>
      </c>
      <c r="F80" s="4" t="n">
        <v>15.3</v>
      </c>
      <c r="G80" s="4" t="inlineStr">
        <is>
          <t>gate post light</t>
        </is>
      </c>
    </row>
    <row r="81">
      <c r="A81" s="4" t="inlineStr">
        <is>
          <t>GL</t>
        </is>
      </c>
      <c r="B81" s="4" t="inlineStr">
        <is>
          <t>Outdoor / gate light</t>
        </is>
      </c>
      <c r="C81" s="4" t="inlineStr">
        <is>
          <t>7'-0"</t>
        </is>
      </c>
      <c r="D81" s="4" t="inlineStr">
        <is>
          <t>Site</t>
        </is>
      </c>
      <c r="E81" s="4" t="n">
        <v>74.7</v>
      </c>
      <c r="F81" s="4" t="n">
        <v>22.9</v>
      </c>
      <c r="G81" s="4" t="inlineStr">
        <is>
          <t>gate post light</t>
        </is>
      </c>
    </row>
    <row r="82">
      <c r="A82" s="4" t="inlineStr">
        <is>
          <t>EP</t>
        </is>
      </c>
      <c r="B82" s="4" t="inlineStr">
        <is>
          <t>Earth pit</t>
        </is>
      </c>
      <c r="C82" s="4" t="inlineStr">
        <is>
          <t>ground</t>
        </is>
      </c>
      <c r="D82" s="4" t="inlineStr">
        <is>
          <t>Site</t>
        </is>
      </c>
      <c r="E82" s="4" t="n">
        <v>68.2</v>
      </c>
      <c r="F82" s="4" t="n">
        <v>1.5</v>
      </c>
      <c r="G82" s="4" t="inlineStr">
        <is>
          <t>earth pit 1</t>
        </is>
      </c>
    </row>
    <row r="83">
      <c r="A83" s="4" t="inlineStr">
        <is>
          <t>EP</t>
        </is>
      </c>
      <c r="B83" s="4" t="inlineStr">
        <is>
          <t>Earth pit</t>
        </is>
      </c>
      <c r="C83" s="4" t="inlineStr">
        <is>
          <t>ground</t>
        </is>
      </c>
      <c r="D83" s="4" t="inlineStr">
        <is>
          <t>Site</t>
        </is>
      </c>
      <c r="E83" s="4" t="n">
        <v>73.5</v>
      </c>
      <c r="F83" s="4" t="n">
        <v>1.5</v>
      </c>
      <c r="G83" s="4" t="inlineStr">
        <is>
          <t>earth pit 2</t>
        </is>
      </c>
    </row>
    <row r="84">
      <c r="A84" s="4" t="inlineStr">
        <is>
          <t>GL</t>
        </is>
      </c>
      <c r="B84" s="4" t="inlineStr">
        <is>
          <t>Outdoor / gate light</t>
        </is>
      </c>
      <c r="C84" s="4" t="inlineStr">
        <is>
          <t>7'-0"</t>
        </is>
      </c>
      <c r="D84" s="4" t="inlineStr">
        <is>
          <t>Site</t>
        </is>
      </c>
      <c r="E84" s="4" t="n">
        <v>13</v>
      </c>
      <c r="F84" s="4" t="n">
        <v>8</v>
      </c>
      <c r="G84" s="4" t="inlineStr">
        <is>
          <t>spare land / kitchen garden</t>
        </is>
      </c>
    </row>
    <row r="85">
      <c r="A85" s="4" t="inlineStr">
        <is>
          <t>F</t>
        </is>
      </c>
      <c r="B85" s="4" t="inlineStr">
        <is>
          <t>Ceiling fan point</t>
        </is>
      </c>
      <c r="C85" s="4" t="inlineStr">
        <is>
          <t>ceiling</t>
        </is>
      </c>
      <c r="D85" s="4" t="inlineStr">
        <is>
          <t>Upper master bedroom</t>
        </is>
      </c>
      <c r="E85" s="4" t="n">
        <v>22</v>
      </c>
      <c r="F85" s="4" t="n">
        <v>8.5</v>
      </c>
      <c r="G85" s="4" t="inlineStr">
        <is>
          <t>clear of the bed head</t>
        </is>
      </c>
    </row>
    <row r="86">
      <c r="A86" s="4" t="inlineStr">
        <is>
          <t>L</t>
        </is>
      </c>
      <c r="B86" s="4" t="inlineStr">
        <is>
          <t>Ceiling light</t>
        </is>
      </c>
      <c r="C86" s="4" t="inlineStr">
        <is>
          <t>ceiling</t>
        </is>
      </c>
      <c r="D86" s="4" t="inlineStr">
        <is>
          <t>Upper master bedroom</t>
        </is>
      </c>
      <c r="E86" s="4" t="n">
        <v>19.5</v>
      </c>
      <c r="F86" s="4" t="n">
        <v>13.6</v>
      </c>
      <c r="G86" s="4" t="inlineStr"/>
    </row>
    <row r="87">
      <c r="A87" s="4" t="inlineStr">
        <is>
          <t>L</t>
        </is>
      </c>
      <c r="B87" s="4" t="inlineStr">
        <is>
          <t>Ceiling light</t>
        </is>
      </c>
      <c r="C87" s="4" t="inlineStr">
        <is>
          <t>ceiling</t>
        </is>
      </c>
      <c r="D87" s="4" t="inlineStr">
        <is>
          <t>Upper master bedroom</t>
        </is>
      </c>
      <c r="E87" s="4" t="n">
        <v>28.5</v>
      </c>
      <c r="F87" s="4" t="n">
        <v>7</v>
      </c>
      <c r="G87" s="4" t="inlineStr"/>
    </row>
    <row r="88">
      <c r="A88" s="4" t="inlineStr">
        <is>
          <t>S</t>
        </is>
      </c>
      <c r="B88" s="4" t="inlineStr">
        <is>
          <t>Switchboard</t>
        </is>
      </c>
      <c r="C88" s="4" t="inlineStr">
        <is>
          <t>4'-0"</t>
        </is>
      </c>
      <c r="D88" s="4" t="inlineStr">
        <is>
          <t>Upper master bedroom</t>
        </is>
      </c>
      <c r="E88" s="4" t="n">
        <v>30.6</v>
      </c>
      <c r="F88" s="4" t="n">
        <v>13.9</v>
      </c>
      <c r="G88" s="4" t="inlineStr">
        <is>
          <t>at the door, latch side, 2-way</t>
        </is>
      </c>
    </row>
    <row r="89">
      <c r="A89" s="4" t="inlineStr">
        <is>
          <t>S</t>
        </is>
      </c>
      <c r="B89" s="4" t="inlineStr">
        <is>
          <t>Switchboard</t>
        </is>
      </c>
      <c r="C89" s="4" t="inlineStr">
        <is>
          <t>4'-0"</t>
        </is>
      </c>
      <c r="D89" s="4" t="inlineStr">
        <is>
          <t>Upper master bedroom</t>
        </is>
      </c>
      <c r="E89" s="4" t="n">
        <v>17.4</v>
      </c>
      <c r="F89" s="4" t="n">
        <v>12.9</v>
      </c>
      <c r="G89" s="4" t="inlineStr">
        <is>
          <t>bedside, 2-way</t>
        </is>
      </c>
    </row>
    <row r="90">
      <c r="A90" s="4" t="inlineStr">
        <is>
          <t>P</t>
        </is>
      </c>
      <c r="B90" s="4" t="inlineStr">
        <is>
          <t>6 A socket</t>
        </is>
      </c>
      <c r="C90" s="4" t="inlineStr">
        <is>
          <t>1'-0"</t>
        </is>
      </c>
      <c r="D90" s="4" t="inlineStr">
        <is>
          <t>Upper master bedroom</t>
        </is>
      </c>
      <c r="E90" s="4" t="n">
        <v>17.4</v>
      </c>
      <c r="F90" s="4" t="n">
        <v>4.2</v>
      </c>
      <c r="G90" s="4" t="inlineStr">
        <is>
          <t>bedside</t>
        </is>
      </c>
    </row>
    <row r="91">
      <c r="A91" s="4" t="inlineStr">
        <is>
          <t>P</t>
        </is>
      </c>
      <c r="B91" s="4" t="inlineStr">
        <is>
          <t>6 A socket</t>
        </is>
      </c>
      <c r="C91" s="4" t="inlineStr">
        <is>
          <t>1'-0"</t>
        </is>
      </c>
      <c r="D91" s="4" t="inlineStr">
        <is>
          <t>Upper master bedroom</t>
        </is>
      </c>
      <c r="E91" s="4" t="n">
        <v>17.4</v>
      </c>
      <c r="F91" s="4" t="n">
        <v>12</v>
      </c>
      <c r="G91" s="4" t="inlineStr">
        <is>
          <t>bedside</t>
        </is>
      </c>
    </row>
    <row r="92">
      <c r="A92" s="4" t="inlineStr">
        <is>
          <t>P</t>
        </is>
      </c>
      <c r="B92" s="4" t="inlineStr">
        <is>
          <t>6 A socket</t>
        </is>
      </c>
      <c r="C92" s="4" t="inlineStr">
        <is>
          <t>1'-0"</t>
        </is>
      </c>
      <c r="D92" s="4" t="inlineStr">
        <is>
          <t>Upper master bedroom</t>
        </is>
      </c>
      <c r="E92" s="4" t="n">
        <v>29</v>
      </c>
      <c r="F92" s="4" t="n">
        <v>3.4</v>
      </c>
      <c r="G92" s="4" t="inlineStr">
        <is>
          <t>reading chair</t>
        </is>
      </c>
    </row>
    <row r="93">
      <c r="A93" s="4" t="inlineStr">
        <is>
          <t>AC</t>
        </is>
      </c>
      <c r="B93" s="4" t="inlineStr">
        <is>
          <t>AC indoor unit (16 A socket, sleeve, drain)</t>
        </is>
      </c>
      <c r="C93" s="4" t="inlineStr">
        <is>
          <t>7'-6"</t>
        </is>
      </c>
      <c r="D93" s="4" t="inlineStr">
        <is>
          <t>Upper master bedroom</t>
        </is>
      </c>
      <c r="E93" s="4" t="n">
        <v>30.6</v>
      </c>
      <c r="F93" s="4" t="n">
        <v>8</v>
      </c>
      <c r="G93" s="4" t="inlineStr">
        <is>
          <t>east wall, throws west toward the bed foot; 1.5 ton for the whole suite</t>
        </is>
      </c>
    </row>
    <row r="94">
      <c r="A94" s="4" t="inlineStr">
        <is>
          <t>ODU</t>
        </is>
      </c>
      <c r="B94" s="4" t="inlineStr">
        <is>
          <t>AC outdoor unit bracket</t>
        </is>
      </c>
      <c r="C94" s="4" t="inlineStr">
        <is>
          <t>7'-0" outside</t>
        </is>
      </c>
      <c r="D94" s="4" t="inlineStr">
        <is>
          <t>Upper master bedroom</t>
        </is>
      </c>
      <c r="E94" s="4" t="n">
        <v>26</v>
      </c>
      <c r="F94" s="4" t="n">
        <v>2.4</v>
      </c>
      <c r="G94" s="4" t="inlineStr">
        <is>
          <t>south wall, under the eave</t>
        </is>
      </c>
    </row>
    <row r="95">
      <c r="A95" s="4" t="inlineStr">
        <is>
          <t>L</t>
        </is>
      </c>
      <c r="B95" s="4" t="inlineStr">
        <is>
          <t>Ceiling light</t>
        </is>
      </c>
      <c r="C95" s="4" t="inlineStr">
        <is>
          <t>ceiling</t>
        </is>
      </c>
      <c r="D95" s="4" t="inlineStr">
        <is>
          <t>Dressing</t>
        </is>
      </c>
      <c r="E95" s="4" t="n">
        <v>34.2</v>
      </c>
      <c r="F95" s="4" t="n">
        <v>6.5</v>
      </c>
      <c r="G95" s="4" t="inlineStr"/>
    </row>
    <row r="96">
      <c r="A96" s="4" t="inlineStr">
        <is>
          <t>S</t>
        </is>
      </c>
      <c r="B96" s="4" t="inlineStr">
        <is>
          <t>Switchboard</t>
        </is>
      </c>
      <c r="C96" s="4" t="inlineStr">
        <is>
          <t>4'-0"</t>
        </is>
      </c>
      <c r="D96" s="4" t="inlineStr">
        <is>
          <t>Upper master bedroom</t>
        </is>
      </c>
      <c r="E96" s="4" t="n">
        <v>30.6</v>
      </c>
      <c r="F96" s="4" t="n">
        <v>4.6</v>
      </c>
      <c r="G96" s="4" t="inlineStr">
        <is>
          <t>dressing light</t>
        </is>
      </c>
    </row>
    <row r="97">
      <c r="A97" s="4" t="inlineStr">
        <is>
          <t>P</t>
        </is>
      </c>
      <c r="B97" s="4" t="inlineStr">
        <is>
          <t>6 A socket</t>
        </is>
      </c>
      <c r="C97" s="4" t="inlineStr">
        <is>
          <t>1'-0"</t>
        </is>
      </c>
      <c r="D97" s="4" t="inlineStr">
        <is>
          <t>Dressing</t>
        </is>
      </c>
      <c r="E97" s="4" t="n">
        <v>35.6</v>
      </c>
      <c r="F97" s="4" t="n">
        <v>4.2</v>
      </c>
      <c r="G97" s="4" t="inlineStr">
        <is>
          <t>dresser</t>
        </is>
      </c>
    </row>
    <row r="98">
      <c r="A98" s="4" t="inlineStr">
        <is>
          <t>L</t>
        </is>
      </c>
      <c r="B98" s="4" t="inlineStr">
        <is>
          <t>Ceiling light</t>
        </is>
      </c>
      <c r="C98" s="4" t="inlineStr">
        <is>
          <t>ceiling</t>
        </is>
      </c>
      <c r="D98" s="4" t="inlineStr">
        <is>
          <t>Upper master bath</t>
        </is>
      </c>
      <c r="E98" s="4" t="n">
        <v>41.7</v>
      </c>
      <c r="F98" s="4" t="n">
        <v>6</v>
      </c>
      <c r="G98" s="4" t="inlineStr"/>
    </row>
    <row r="99">
      <c r="A99" s="4" t="inlineStr">
        <is>
          <t>EF</t>
        </is>
      </c>
      <c r="B99" s="4" t="inlineStr">
        <is>
          <t>Exhaust fan</t>
        </is>
      </c>
      <c r="C99" s="4" t="inlineStr">
        <is>
          <t>7'-0"</t>
        </is>
      </c>
      <c r="D99" s="4" t="inlineStr">
        <is>
          <t>Upper master bath</t>
        </is>
      </c>
      <c r="E99" s="4" t="n">
        <v>43.7</v>
      </c>
      <c r="F99" s="4" t="n">
        <v>3.4</v>
      </c>
      <c r="G99" s="4" t="inlineStr">
        <is>
          <t>out through the south wall</t>
        </is>
      </c>
    </row>
    <row r="100">
      <c r="A100" s="4" t="inlineStr">
        <is>
          <t>G</t>
        </is>
      </c>
      <c r="B100" s="4" t="inlineStr">
        <is>
          <t>Geyser (16 A)</t>
        </is>
      </c>
      <c r="C100" s="4" t="inlineStr">
        <is>
          <t>6'-6"</t>
        </is>
      </c>
      <c r="D100" s="4" t="inlineStr">
        <is>
          <t>Upper master bath</t>
        </is>
      </c>
      <c r="E100" s="4" t="n">
        <v>43.6</v>
      </c>
      <c r="F100" s="4" t="n">
        <v>8.6</v>
      </c>
      <c r="G100" s="4" t="inlineStr">
        <is>
          <t>over shower, east wall</t>
        </is>
      </c>
    </row>
    <row r="101">
      <c r="A101" s="4" t="inlineStr">
        <is>
          <t>PC</t>
        </is>
      </c>
      <c r="B101" s="4" t="inlineStr">
        <is>
          <t>6 A socket at counter</t>
        </is>
      </c>
      <c r="C101" s="4" t="inlineStr">
        <is>
          <t>3'-6"</t>
        </is>
      </c>
      <c r="D101" s="4" t="inlineStr">
        <is>
          <t>Upper master bath</t>
        </is>
      </c>
      <c r="E101" s="4" t="n">
        <v>43.6</v>
      </c>
      <c r="F101" s="4" t="n">
        <v>6.6</v>
      </c>
      <c r="G101" s="4" t="inlineStr">
        <is>
          <t>by basin</t>
        </is>
      </c>
    </row>
    <row r="102">
      <c r="A102" s="4" t="inlineStr">
        <is>
          <t>S</t>
        </is>
      </c>
      <c r="B102" s="4" t="inlineStr">
        <is>
          <t>Switchboard</t>
        </is>
      </c>
      <c r="C102" s="4" t="inlineStr">
        <is>
          <t>4'-0"</t>
        </is>
      </c>
      <c r="D102" s="4" t="inlineStr">
        <is>
          <t>Dressing</t>
        </is>
      </c>
      <c r="E102" s="4" t="n">
        <v>37.2</v>
      </c>
      <c r="F102" s="4" t="n">
        <v>6.4</v>
      </c>
      <c r="G102" s="4" t="inlineStr">
        <is>
          <t>bath switches outside the door</t>
        </is>
      </c>
    </row>
    <row r="103">
      <c r="A103" s="4" t="inlineStr">
        <is>
          <t>L</t>
        </is>
      </c>
      <c r="B103" s="4" t="inlineStr">
        <is>
          <t>Ceiling light</t>
        </is>
      </c>
      <c r="C103" s="4" t="inlineStr">
        <is>
          <t>ceiling</t>
        </is>
      </c>
      <c r="D103" s="4" t="inlineStr">
        <is>
          <t>Landing</t>
        </is>
      </c>
      <c r="E103" s="4" t="n">
        <v>39</v>
      </c>
      <c r="F103" s="4" t="n">
        <v>12</v>
      </c>
      <c r="G103" s="4" t="inlineStr"/>
    </row>
    <row r="104">
      <c r="A104" s="4" t="inlineStr">
        <is>
          <t>S</t>
        </is>
      </c>
      <c r="B104" s="4" t="inlineStr">
        <is>
          <t>Switchboard</t>
        </is>
      </c>
      <c r="C104" s="4" t="inlineStr">
        <is>
          <t>4'-0"</t>
        </is>
      </c>
      <c r="D104" s="4" t="inlineStr">
        <is>
          <t>Landing</t>
        </is>
      </c>
      <c r="E104" s="4" t="n">
        <v>32</v>
      </c>
      <c r="F104" s="4" t="n">
        <v>10.4</v>
      </c>
      <c r="G104" s="4" t="inlineStr">
        <is>
          <t>landing and stair, 2-way with the lobby</t>
        </is>
      </c>
    </row>
    <row r="105">
      <c r="A105" s="4" t="inlineStr">
        <is>
          <t>L</t>
        </is>
      </c>
      <c r="B105" s="4" t="inlineStr">
        <is>
          <t>Ceiling light</t>
        </is>
      </c>
      <c r="C105" s="4" t="inlineStr">
        <is>
          <t>ceiling</t>
        </is>
      </c>
      <c r="D105" s="4" t="inlineStr">
        <is>
          <t>Upper passage</t>
        </is>
      </c>
      <c r="E105" s="4" t="n">
        <v>32.25</v>
      </c>
      <c r="F105" s="4" t="n">
        <v>19.5</v>
      </c>
      <c r="G105" s="4" t="inlineStr"/>
    </row>
    <row r="106">
      <c r="A106" s="4" t="inlineStr">
        <is>
          <t>WL</t>
        </is>
      </c>
      <c r="B106" s="4" t="inlineStr">
        <is>
          <t>Wall light / mirror light</t>
        </is>
      </c>
      <c r="C106" s="4" t="inlineStr">
        <is>
          <t>6'-6"</t>
        </is>
      </c>
      <c r="D106" s="4" t="inlineStr">
        <is>
          <t>Upper passage</t>
        </is>
      </c>
      <c r="E106" s="4" t="n">
        <v>32.25</v>
      </c>
      <c r="F106" s="4" t="n">
        <v>24.6</v>
      </c>
      <c r="G106" s="4" t="inlineStr">
        <is>
          <t>reading light over the bookshelf</t>
        </is>
      </c>
    </row>
    <row r="107">
      <c r="A107" s="4" t="inlineStr">
        <is>
          <t>F</t>
        </is>
      </c>
      <c r="B107" s="4" t="inlineStr">
        <is>
          <t>Ceiling fan point</t>
        </is>
      </c>
      <c r="C107" s="4" t="inlineStr">
        <is>
          <t>ceiling</t>
        </is>
      </c>
      <c r="D107" s="4" t="inlineStr">
        <is>
          <t>Sitting and study (upper master)</t>
        </is>
      </c>
      <c r="E107" s="4" t="n">
        <v>25.5</v>
      </c>
      <c r="F107" s="4" t="n">
        <v>20</v>
      </c>
      <c r="G107" s="4" t="inlineStr"/>
    </row>
    <row r="108">
      <c r="A108" s="4" t="inlineStr">
        <is>
          <t>L</t>
        </is>
      </c>
      <c r="B108" s="4" t="inlineStr">
        <is>
          <t>Ceiling light</t>
        </is>
      </c>
      <c r="C108" s="4" t="inlineStr">
        <is>
          <t>ceiling</t>
        </is>
      </c>
      <c r="D108" s="4" t="inlineStr">
        <is>
          <t>Sitting and study (upper master)</t>
        </is>
      </c>
      <c r="E108" s="4" t="n">
        <v>20</v>
      </c>
      <c r="F108" s="4" t="n">
        <v>19</v>
      </c>
      <c r="G108" s="4" t="inlineStr"/>
    </row>
    <row r="109">
      <c r="A109" s="4" t="inlineStr">
        <is>
          <t>L</t>
        </is>
      </c>
      <c r="B109" s="4" t="inlineStr">
        <is>
          <t>Ceiling light</t>
        </is>
      </c>
      <c r="C109" s="4" t="inlineStr">
        <is>
          <t>ceiling</t>
        </is>
      </c>
      <c r="D109" s="4" t="inlineStr">
        <is>
          <t>Sitting and study (upper master)</t>
        </is>
      </c>
      <c r="E109" s="4" t="n">
        <v>28</v>
      </c>
      <c r="F109" s="4" t="n">
        <v>23</v>
      </c>
      <c r="G109" s="4" t="inlineStr"/>
    </row>
    <row r="110">
      <c r="A110" s="4" t="inlineStr">
        <is>
          <t>S</t>
        </is>
      </c>
      <c r="B110" s="4" t="inlineStr">
        <is>
          <t>Switchboard</t>
        </is>
      </c>
      <c r="C110" s="4" t="inlineStr">
        <is>
          <t>4'-0"</t>
        </is>
      </c>
      <c r="D110" s="4" t="inlineStr">
        <is>
          <t>Sitting and study (upper master)</t>
        </is>
      </c>
      <c r="E110" s="4" t="n">
        <v>26</v>
      </c>
      <c r="F110" s="4" t="n">
        <v>16.8</v>
      </c>
      <c r="G110" s="4" t="inlineStr">
        <is>
          <t>sitting zone, at the wardrobe end</t>
        </is>
      </c>
    </row>
    <row r="111">
      <c r="A111" s="4" t="inlineStr">
        <is>
          <t>P</t>
        </is>
      </c>
      <c r="B111" s="4" t="inlineStr">
        <is>
          <t>6 A socket</t>
        </is>
      </c>
      <c r="C111" s="4" t="inlineStr">
        <is>
          <t>1'-0"</t>
        </is>
      </c>
      <c r="D111" s="4" t="inlineStr">
        <is>
          <t>Sitting and study (upper master)</t>
        </is>
      </c>
      <c r="E111" s="4" t="n">
        <v>17.4</v>
      </c>
      <c r="F111" s="4" t="n">
        <v>18.4</v>
      </c>
      <c r="G111" s="4" t="inlineStr">
        <is>
          <t>desk</t>
        </is>
      </c>
    </row>
    <row r="112">
      <c r="A112" s="4" t="inlineStr">
        <is>
          <t>U</t>
        </is>
      </c>
      <c r="B112" s="4" t="inlineStr">
        <is>
          <t>Inverter (UPS) socket</t>
        </is>
      </c>
      <c r="C112" s="4" t="inlineStr">
        <is>
          <t>1'-0"</t>
        </is>
      </c>
      <c r="D112" s="4" t="inlineStr">
        <is>
          <t>Sitting and study (upper master)</t>
        </is>
      </c>
      <c r="E112" s="4" t="n">
        <v>17.4</v>
      </c>
      <c r="F112" s="4" t="n">
        <v>19.4</v>
      </c>
      <c r="G112" s="4" t="inlineStr">
        <is>
          <t>desk</t>
        </is>
      </c>
    </row>
    <row r="113">
      <c r="A113" s="4" t="inlineStr">
        <is>
          <t>D</t>
        </is>
      </c>
      <c r="B113" s="4" t="inlineStr">
        <is>
          <t>Data point (Cat6)</t>
        </is>
      </c>
      <c r="C113" s="4" t="inlineStr">
        <is>
          <t>1'-0"</t>
        </is>
      </c>
      <c r="D113" s="4" t="inlineStr">
        <is>
          <t>Sitting and study (upper master)</t>
        </is>
      </c>
      <c r="E113" s="4" t="n">
        <v>17.4</v>
      </c>
      <c r="F113" s="4" t="n">
        <v>20.4</v>
      </c>
      <c r="G113" s="4" t="inlineStr">
        <is>
          <t>desk</t>
        </is>
      </c>
    </row>
    <row r="114">
      <c r="A114" s="4" t="inlineStr">
        <is>
          <t>P</t>
        </is>
      </c>
      <c r="B114" s="4" t="inlineStr">
        <is>
          <t>6 A socket</t>
        </is>
      </c>
      <c r="C114" s="4" t="inlineStr">
        <is>
          <t>1'-0"</t>
        </is>
      </c>
      <c r="D114" s="4" t="inlineStr">
        <is>
          <t>Sitting and study (upper master)</t>
        </is>
      </c>
      <c r="E114" s="4" t="n">
        <v>27.6</v>
      </c>
      <c r="F114" s="4" t="n">
        <v>24.6</v>
      </c>
      <c r="G114" s="4" t="inlineStr">
        <is>
          <t>reading chair</t>
        </is>
      </c>
    </row>
    <row r="115">
      <c r="A115" s="4" t="inlineStr">
        <is>
          <t>F</t>
        </is>
      </c>
      <c r="B115" s="4" t="inlineStr">
        <is>
          <t>Ceiling fan point</t>
        </is>
      </c>
      <c r="C115" s="4" t="inlineStr">
        <is>
          <t>ceiling</t>
        </is>
      </c>
      <c r="D115" s="4" t="inlineStr">
        <is>
          <t>Covered terrace</t>
        </is>
      </c>
      <c r="E115" s="4" t="n">
        <v>50</v>
      </c>
      <c r="F115" s="4" t="n">
        <v>19</v>
      </c>
      <c r="G115" s="4" t="inlineStr">
        <is>
          <t>wet-rated, hung from the steel truss</t>
        </is>
      </c>
    </row>
    <row r="116">
      <c r="A116" s="4" t="inlineStr">
        <is>
          <t>L</t>
        </is>
      </c>
      <c r="B116" s="4" t="inlineStr">
        <is>
          <t>Ceiling light</t>
        </is>
      </c>
      <c r="C116" s="4" t="inlineStr">
        <is>
          <t>ceiling</t>
        </is>
      </c>
      <c r="D116" s="4" t="inlineStr">
        <is>
          <t>Covered terrace</t>
        </is>
      </c>
      <c r="E116" s="4" t="n">
        <v>48</v>
      </c>
      <c r="F116" s="4" t="n">
        <v>9</v>
      </c>
      <c r="G116" s="4" t="inlineStr">
        <is>
          <t>wet-rated</t>
        </is>
      </c>
    </row>
    <row r="117">
      <c r="A117" s="4" t="inlineStr">
        <is>
          <t>L</t>
        </is>
      </c>
      <c r="B117" s="4" t="inlineStr">
        <is>
          <t>Ceiling light</t>
        </is>
      </c>
      <c r="C117" s="4" t="inlineStr">
        <is>
          <t>ceiling</t>
        </is>
      </c>
      <c r="D117" s="4" t="inlineStr">
        <is>
          <t>Covered terrace</t>
        </is>
      </c>
      <c r="E117" s="4" t="n">
        <v>56</v>
      </c>
      <c r="F117" s="4" t="n">
        <v>9</v>
      </c>
      <c r="G117" s="4" t="inlineStr">
        <is>
          <t>wet-rated</t>
        </is>
      </c>
    </row>
    <row r="118">
      <c r="A118" s="4" t="inlineStr">
        <is>
          <t>L</t>
        </is>
      </c>
      <c r="B118" s="4" t="inlineStr">
        <is>
          <t>Ceiling light</t>
        </is>
      </c>
      <c r="C118" s="4" t="inlineStr">
        <is>
          <t>ceiling</t>
        </is>
      </c>
      <c r="D118" s="4" t="inlineStr">
        <is>
          <t>Covered terrace</t>
        </is>
      </c>
      <c r="E118" s="4" t="n">
        <v>56</v>
      </c>
      <c r="F118" s="4" t="n">
        <v>21</v>
      </c>
      <c r="G118" s="4" t="inlineStr">
        <is>
          <t>wet-rated</t>
        </is>
      </c>
    </row>
    <row r="119">
      <c r="A119" s="4" t="inlineStr">
        <is>
          <t>P</t>
        </is>
      </c>
      <c r="B119" s="4" t="inlineStr">
        <is>
          <t>6 A socket</t>
        </is>
      </c>
      <c r="C119" s="4" t="inlineStr">
        <is>
          <t>1'-0"</t>
        </is>
      </c>
      <c r="D119" s="4" t="inlineStr">
        <is>
          <t>Covered terrace</t>
        </is>
      </c>
      <c r="E119" s="4" t="n">
        <v>44.4</v>
      </c>
      <c r="F119" s="4" t="n">
        <v>15.2</v>
      </c>
      <c r="G119" s="4" t="inlineStr">
        <is>
          <t>weatherproof</t>
        </is>
      </c>
    </row>
    <row r="120">
      <c r="A120" s="4" t="inlineStr">
        <is>
          <t>P</t>
        </is>
      </c>
      <c r="B120" s="4" t="inlineStr">
        <is>
          <t>6 A socket</t>
        </is>
      </c>
      <c r="C120" s="4" t="inlineStr">
        <is>
          <t>1'-0"</t>
        </is>
      </c>
      <c r="D120" s="4" t="inlineStr">
        <is>
          <t>Covered terrace</t>
        </is>
      </c>
      <c r="E120" s="4" t="n">
        <v>44.4</v>
      </c>
      <c r="F120" s="4" t="n">
        <v>5</v>
      </c>
      <c r="G120" s="4" t="inlineStr">
        <is>
          <t>weatherproof</t>
        </is>
      </c>
    </row>
    <row r="121">
      <c r="A121" s="4" t="inlineStr">
        <is>
          <t>S</t>
        </is>
      </c>
      <c r="B121" s="4" t="inlineStr">
        <is>
          <t>Switchboard</t>
        </is>
      </c>
      <c r="C121" s="4" t="inlineStr">
        <is>
          <t>4'-0"</t>
        </is>
      </c>
      <c r="D121" s="4" t="inlineStr">
        <is>
          <t>Landing</t>
        </is>
      </c>
      <c r="E121" s="4" t="n">
        <v>43.6</v>
      </c>
      <c r="F121" s="4" t="n">
        <v>14</v>
      </c>
      <c r="G121" s="4" t="inlineStr">
        <is>
          <t>terrace switches by the door, landing side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Master bath</t>
        </is>
      </c>
      <c r="D2" s="4" t="n">
        <v>36.4</v>
      </c>
      <c r="E2" s="4" t="n">
        <v>4.9</v>
      </c>
      <c r="F2" s="4" t="inlineStr">
        <is>
          <t>on the wet wall shared with the common bath</t>
        </is>
      </c>
    </row>
    <row r="3">
      <c r="A3" s="4" t="inlineStr">
        <is>
          <t>HF</t>
        </is>
      </c>
      <c r="B3" s="4" t="inlineStr">
        <is>
          <t>Health faucet</t>
        </is>
      </c>
      <c r="C3" s="4" t="inlineStr">
        <is>
          <t>Master bath</t>
        </is>
      </c>
      <c r="D3" s="4" t="n">
        <v>37.2</v>
      </c>
      <c r="E3" s="4" t="n">
        <v>5.7</v>
      </c>
      <c r="F3" s="4" t="inlineStr"/>
    </row>
    <row r="4">
      <c r="A4" s="4" t="inlineStr">
        <is>
          <t>BS</t>
        </is>
      </c>
      <c r="B4" s="4" t="inlineStr">
        <is>
          <t>Wash basin</t>
        </is>
      </c>
      <c r="C4" s="4" t="inlineStr">
        <is>
          <t>Master bath</t>
        </is>
      </c>
      <c r="D4" s="4" t="n">
        <v>34.6</v>
      </c>
      <c r="E4" s="4" t="n">
        <v>9.6</v>
      </c>
      <c r="F4" s="4" t="inlineStr">
        <is>
          <t>on the lobby wall</t>
        </is>
      </c>
    </row>
    <row r="5">
      <c r="A5" s="4" t="inlineStr">
        <is>
          <t>SH</t>
        </is>
      </c>
      <c r="B5" s="4" t="inlineStr">
        <is>
          <t>Shower mixer (hot + cold)</t>
        </is>
      </c>
      <c r="C5" s="4" t="inlineStr">
        <is>
          <t>Master bath</t>
        </is>
      </c>
      <c r="D5" s="4" t="n">
        <v>31.4</v>
      </c>
      <c r="E5" s="4" t="n">
        <v>4.4</v>
      </c>
      <c r="F5" s="4" t="inlineStr">
        <is>
          <t>west wall</t>
        </is>
      </c>
    </row>
    <row r="6">
      <c r="A6" s="4" t="inlineStr">
        <is>
          <t>FT</t>
        </is>
      </c>
      <c r="B6" s="4" t="inlineStr">
        <is>
          <t>Floor trap / linear drain</t>
        </is>
      </c>
      <c r="C6" s="4" t="inlineStr">
        <is>
          <t>Master bath</t>
        </is>
      </c>
      <c r="D6" s="4" t="n">
        <v>32.4</v>
      </c>
      <c r="E6" s="4" t="n">
        <v>3.6</v>
      </c>
      <c r="F6" s="4" t="inlineStr">
        <is>
          <t>shower drain</t>
        </is>
      </c>
    </row>
    <row r="7">
      <c r="A7" s="4" t="inlineStr">
        <is>
          <t>FT</t>
        </is>
      </c>
      <c r="B7" s="4" t="inlineStr">
        <is>
          <t>Floor trap / linear drain</t>
        </is>
      </c>
      <c r="C7" s="4" t="inlineStr">
        <is>
          <t>Master bath</t>
        </is>
      </c>
      <c r="D7" s="4" t="n">
        <v>35</v>
      </c>
      <c r="E7" s="4" t="n">
        <v>7.4</v>
      </c>
      <c r="F7" s="4" t="inlineStr">
        <is>
          <t>dry zone trap</t>
        </is>
      </c>
    </row>
    <row r="8">
      <c r="A8" s="4" t="inlineStr">
        <is>
          <t>WC</t>
        </is>
      </c>
      <c r="B8" s="4" t="inlineStr">
        <is>
          <t>Wall-hung WC, concealed cistern</t>
        </is>
      </c>
      <c r="C8" s="4" t="inlineStr">
        <is>
          <t>Common bath</t>
        </is>
      </c>
      <c r="D8" s="4" t="n">
        <v>38.6</v>
      </c>
      <c r="E8" s="4" t="n">
        <v>6.2</v>
      </c>
      <c r="F8" s="4" t="inlineStr">
        <is>
          <t>back to back with the master WC</t>
        </is>
      </c>
    </row>
    <row r="9">
      <c r="A9" s="4" t="inlineStr">
        <is>
          <t>HF</t>
        </is>
      </c>
      <c r="B9" s="4" t="inlineStr">
        <is>
          <t>Health faucet</t>
        </is>
      </c>
      <c r="C9" s="4" t="inlineStr">
        <is>
          <t>Common bath</t>
        </is>
      </c>
      <c r="D9" s="4" t="n">
        <v>37.8</v>
      </c>
      <c r="E9" s="4" t="n">
        <v>6.9</v>
      </c>
      <c r="F9" s="4" t="inlineStr"/>
    </row>
    <row r="10">
      <c r="A10" s="4" t="inlineStr">
        <is>
          <t>BS</t>
        </is>
      </c>
      <c r="B10" s="4" t="inlineStr">
        <is>
          <t>Wash basin</t>
        </is>
      </c>
      <c r="C10" s="4" t="inlineStr">
        <is>
          <t>Common bath</t>
        </is>
      </c>
      <c r="D10" s="4" t="n">
        <v>43.6</v>
      </c>
      <c r="E10" s="4" t="n">
        <v>8</v>
      </c>
      <c r="F10" s="4" t="inlineStr">
        <is>
          <t>on 7 in wet wall</t>
        </is>
      </c>
    </row>
    <row r="11">
      <c r="A11" s="4" t="inlineStr">
        <is>
          <t>SH</t>
        </is>
      </c>
      <c r="B11" s="4" t="inlineStr">
        <is>
          <t>Shower mixer (hot + cold)</t>
        </is>
      </c>
      <c r="C11" s="4" t="inlineStr">
        <is>
          <t>Common bath</t>
        </is>
      </c>
      <c r="D11" s="4" t="n">
        <v>43.6</v>
      </c>
      <c r="E11" s="4" t="n">
        <v>4.2</v>
      </c>
      <c r="F11" s="4" t="inlineStr">
        <is>
          <t>east wall</t>
        </is>
      </c>
    </row>
    <row r="12">
      <c r="A12" s="4" t="inlineStr">
        <is>
          <t>FT</t>
        </is>
      </c>
      <c r="B12" s="4" t="inlineStr">
        <is>
          <t>Floor trap / linear drain</t>
        </is>
      </c>
      <c r="C12" s="4" t="inlineStr">
        <is>
          <t>Common bath</t>
        </is>
      </c>
      <c r="D12" s="4" t="n">
        <v>42.7</v>
      </c>
      <c r="E12" s="4" t="n">
        <v>3.6</v>
      </c>
      <c r="F12" s="4" t="inlineStr">
        <is>
          <t>shower drain</t>
        </is>
      </c>
    </row>
    <row r="13">
      <c r="A13" s="4" t="inlineStr">
        <is>
          <t>FT</t>
        </is>
      </c>
      <c r="B13" s="4" t="inlineStr">
        <is>
          <t>Floor trap / linear drain</t>
        </is>
      </c>
      <c r="C13" s="4" t="inlineStr">
        <is>
          <t>Common bath</t>
        </is>
      </c>
      <c r="D13" s="4" t="n">
        <v>41.5</v>
      </c>
      <c r="E13" s="4" t="n">
        <v>8.4</v>
      </c>
      <c r="F13" s="4" t="inlineStr">
        <is>
          <t>dry zone trap</t>
        </is>
      </c>
    </row>
    <row r="14">
      <c r="A14" s="4" t="inlineStr">
        <is>
          <t>SK</t>
        </is>
      </c>
      <c r="B14" s="4" t="inlineStr">
        <is>
          <t>Sink</t>
        </is>
      </c>
      <c r="C14" s="4" t="inlineStr">
        <is>
          <t>Wet area</t>
        </is>
      </c>
      <c r="D14" s="4" t="n">
        <v>53.75</v>
      </c>
      <c r="E14" s="4" t="n">
        <v>4.3</v>
      </c>
      <c r="F14" s="4" t="inlineStr">
        <is>
          <t>utility sink</t>
        </is>
      </c>
    </row>
    <row r="15">
      <c r="A15" s="4" t="inlineStr">
        <is>
          <t>WM</t>
        </is>
      </c>
      <c r="B15" s="4" t="inlineStr">
        <is>
          <t>Washing-machine inlet + drain</t>
        </is>
      </c>
      <c r="C15" s="4" t="inlineStr">
        <is>
          <t>Wet area</t>
        </is>
      </c>
      <c r="D15" s="4" t="n">
        <v>49.25</v>
      </c>
      <c r="E15" s="4" t="n">
        <v>6.4</v>
      </c>
      <c r="F15" s="4" t="inlineStr"/>
    </row>
    <row r="16">
      <c r="A16" s="4" t="inlineStr">
        <is>
          <t>FT</t>
        </is>
      </c>
      <c r="B16" s="4" t="inlineStr">
        <is>
          <t>Floor trap / linear drain</t>
        </is>
      </c>
      <c r="C16" s="4" t="inlineStr">
        <is>
          <t>Wet area</t>
        </is>
      </c>
      <c r="D16" s="4" t="n">
        <v>50.5</v>
      </c>
      <c r="E16" s="4" t="n">
        <v>3.6</v>
      </c>
      <c r="F16" s="4" t="inlineStr">
        <is>
          <t>floor falls to the trap</t>
        </is>
      </c>
    </row>
    <row r="17">
      <c r="A17" s="4" t="inlineStr">
        <is>
          <t>TAP</t>
        </is>
      </c>
      <c r="B17" s="4" t="inlineStr">
        <is>
          <t>Tap</t>
        </is>
      </c>
      <c r="C17" s="4" t="inlineStr">
        <is>
          <t>Wet area</t>
        </is>
      </c>
      <c r="D17" s="4" t="n">
        <v>54.6</v>
      </c>
      <c r="E17" s="4" t="n">
        <v>3.4</v>
      </c>
      <c r="F17" s="4" t="inlineStr">
        <is>
          <t>bucket tap, low</t>
        </is>
      </c>
    </row>
    <row r="18">
      <c r="A18" s="4" t="inlineStr">
        <is>
          <t>SK</t>
        </is>
      </c>
      <c r="B18" s="4" t="inlineStr">
        <is>
          <t>Sink</t>
        </is>
      </c>
      <c r="C18" s="4" t="inlineStr">
        <is>
          <t>Kitchen</t>
        </is>
      </c>
      <c r="D18" s="4" t="n">
        <v>61.5</v>
      </c>
      <c r="E18" s="4" t="n">
        <v>3.5</v>
      </c>
      <c r="F18" s="4" t="inlineStr">
        <is>
          <t>single bowl + drainboard, under window</t>
        </is>
      </c>
    </row>
    <row r="19">
      <c r="A19" s="4" t="inlineStr">
        <is>
          <t>RO</t>
        </is>
      </c>
      <c r="B19" s="4" t="inlineStr">
        <is>
          <t>RO purifier point</t>
        </is>
      </c>
      <c r="C19" s="4" t="inlineStr">
        <is>
          <t>Kitchen</t>
        </is>
      </c>
      <c r="D19" s="4" t="n">
        <v>60.2</v>
      </c>
      <c r="E19" s="4" t="n">
        <v>3.5</v>
      </c>
      <c r="F19" s="4" t="inlineStr"/>
    </row>
    <row r="20">
      <c r="A20" s="4" t="inlineStr">
        <is>
          <t>FT</t>
        </is>
      </c>
      <c r="B20" s="4" t="inlineStr">
        <is>
          <t>Floor trap / linear drain</t>
        </is>
      </c>
      <c r="C20" s="4" t="inlineStr">
        <is>
          <t>Kitchen</t>
        </is>
      </c>
      <c r="D20" s="4" t="n">
        <v>63</v>
      </c>
      <c r="E20" s="4" t="n">
        <v>12</v>
      </c>
      <c r="F20" s="4" t="inlineStr">
        <is>
          <t>cleaning trap</t>
        </is>
      </c>
    </row>
    <row r="21">
      <c r="A21" s="4" t="inlineStr">
        <is>
          <t>TAP</t>
        </is>
      </c>
      <c r="B21" s="4" t="inlineStr">
        <is>
          <t>Tap</t>
        </is>
      </c>
      <c r="C21" s="4" t="inlineStr">
        <is>
          <t>Site</t>
        </is>
      </c>
      <c r="D21" s="4" t="n">
        <v>69.59999999999999</v>
      </c>
      <c r="E21" s="4" t="n">
        <v>13.6</v>
      </c>
      <c r="F21" s="4" t="inlineStr">
        <is>
          <t>foot-wash tap at steps</t>
        </is>
      </c>
    </row>
    <row r="22">
      <c r="A22" s="4" t="inlineStr">
        <is>
          <t>TAP</t>
        </is>
      </c>
      <c r="B22" s="4" t="inlineStr">
        <is>
          <t>Tap</t>
        </is>
      </c>
      <c r="C22" s="4" t="inlineStr">
        <is>
          <t>Site</t>
        </is>
      </c>
      <c r="D22" s="4" t="n">
        <v>12</v>
      </c>
      <c r="E22" s="4" t="n">
        <v>10</v>
      </c>
      <c r="F22" s="4" t="inlineStr">
        <is>
          <t>kitchen garden tap (spare land)</t>
        </is>
      </c>
    </row>
    <row r="23">
      <c r="A23" s="4" t="inlineStr">
        <is>
          <t>TAP</t>
        </is>
      </c>
      <c r="B23" s="4" t="inlineStr">
        <is>
          <t>Tap</t>
        </is>
      </c>
      <c r="C23" s="4" t="inlineStr">
        <is>
          <t>Site</t>
        </is>
      </c>
      <c r="D23" s="4" t="n">
        <v>74</v>
      </c>
      <c r="E23" s="4" t="n">
        <v>21.6</v>
      </c>
      <c r="F23" s="4" t="inlineStr">
        <is>
          <t>tulsi / garden tap</t>
        </is>
      </c>
    </row>
    <row r="24">
      <c r="A24" s="4" t="inlineStr">
        <is>
          <t>IC</t>
        </is>
      </c>
      <c r="B24" s="4" t="inlineStr">
        <is>
          <t>Inspection chamber</t>
        </is>
      </c>
      <c r="C24" s="4" t="inlineStr">
        <is>
          <t>Site</t>
        </is>
      </c>
      <c r="D24" s="4" t="n">
        <v>37.5</v>
      </c>
      <c r="E24" s="4" t="n">
        <v>1.8</v>
      </c>
      <c r="F24" s="4" t="inlineStr">
        <is>
          <t>IC-1 soil, ground baths</t>
        </is>
      </c>
    </row>
    <row r="25">
      <c r="A25" s="4" t="inlineStr">
        <is>
          <t>IC</t>
        </is>
      </c>
      <c r="B25" s="4" t="inlineStr">
        <is>
          <t>Inspection chamber</t>
        </is>
      </c>
      <c r="C25" s="4" t="inlineStr">
        <is>
          <t>Site</t>
        </is>
      </c>
      <c r="D25" s="4" t="n">
        <v>44</v>
      </c>
      <c r="E25" s="4" t="n">
        <v>1.8</v>
      </c>
      <c r="F25" s="4" t="inlineStr">
        <is>
          <t>IC-2 soil, upper WC stack</t>
        </is>
      </c>
    </row>
    <row r="26">
      <c r="A26" s="4" t="inlineStr">
        <is>
          <t>IC</t>
        </is>
      </c>
      <c r="B26" s="4" t="inlineStr">
        <is>
          <t>Inspection chamber</t>
        </is>
      </c>
      <c r="C26" s="4" t="inlineStr">
        <is>
          <t>Site</t>
        </is>
      </c>
      <c r="D26" s="4" t="n">
        <v>15.6</v>
      </c>
      <c r="E26" s="4" t="n">
        <v>1.8</v>
      </c>
      <c r="F26" s="4" t="inlineStr">
        <is>
          <t>IC-3 soil bend at the 61 ft line</t>
        </is>
      </c>
    </row>
    <row r="27">
      <c r="A27" s="4" t="inlineStr">
        <is>
          <t>GT</t>
        </is>
      </c>
      <c r="B27" s="4" t="inlineStr">
        <is>
          <t>Grease trap</t>
        </is>
      </c>
      <c r="C27" s="4" t="inlineStr">
        <is>
          <t>Site</t>
        </is>
      </c>
      <c r="D27" s="4" t="n">
        <v>61.5</v>
      </c>
      <c r="E27" s="4" t="n">
        <v>1</v>
      </c>
      <c r="F27" s="4" t="inlineStr">
        <is>
          <t>grease trap</t>
        </is>
      </c>
    </row>
    <row r="28">
      <c r="A28" s="4" t="inlineStr">
        <is>
          <t>IC</t>
        </is>
      </c>
      <c r="B28" s="4" t="inlineStr">
        <is>
          <t>Inspection chamber</t>
        </is>
      </c>
      <c r="C28" s="4" t="inlineStr">
        <is>
          <t>Site</t>
        </is>
      </c>
      <c r="D28" s="4" t="n">
        <v>50.5</v>
      </c>
      <c r="E28" s="4" t="n">
        <v>1</v>
      </c>
      <c r="F28" s="4" t="inlineStr">
        <is>
          <t>IC-4 grey</t>
        </is>
      </c>
    </row>
    <row r="29">
      <c r="A29" s="4" t="inlineStr">
        <is>
          <t>IC</t>
        </is>
      </c>
      <c r="B29" s="4" t="inlineStr">
        <is>
          <t>Inspection chamber</t>
        </is>
      </c>
      <c r="C29" s="4" t="inlineStr">
        <is>
          <t>Site</t>
        </is>
      </c>
      <c r="D29" s="4" t="n">
        <v>42.7</v>
      </c>
      <c r="E29" s="4" t="n">
        <v>1</v>
      </c>
      <c r="F29" s="4" t="inlineStr">
        <is>
          <t>IC-5 grey</t>
        </is>
      </c>
    </row>
    <row r="30">
      <c r="A30" s="4" t="inlineStr">
        <is>
          <t>IC</t>
        </is>
      </c>
      <c r="B30" s="4" t="inlineStr">
        <is>
          <t>Inspection chamber</t>
        </is>
      </c>
      <c r="C30" s="4" t="inlineStr">
        <is>
          <t>Site</t>
        </is>
      </c>
      <c r="D30" s="4" t="n">
        <v>15</v>
      </c>
      <c r="E30" s="4" t="n">
        <v>1</v>
      </c>
      <c r="F30" s="4" t="inlineStr">
        <is>
          <t>IC-6 grey, to the soak pit</t>
        </is>
      </c>
    </row>
    <row r="31">
      <c r="A31" s="4" t="inlineStr">
        <is>
          <t>WC</t>
        </is>
      </c>
      <c r="B31" s="4" t="inlineStr">
        <is>
          <t>Wall-hung WC, concealed cistern</t>
        </is>
      </c>
      <c r="C31" s="4" t="inlineStr">
        <is>
          <t>Upper master bath</t>
        </is>
      </c>
      <c r="D31" s="4" t="n">
        <v>42.9</v>
      </c>
      <c r="E31" s="4" t="n">
        <v>4.6</v>
      </c>
      <c r="F31" s="4" t="inlineStr">
        <is>
          <t>on the east wall; stack down the store wall</t>
        </is>
      </c>
    </row>
    <row r="32">
      <c r="A32" s="4" t="inlineStr">
        <is>
          <t>HF</t>
        </is>
      </c>
      <c r="B32" s="4" t="inlineStr">
        <is>
          <t>Health faucet</t>
        </is>
      </c>
      <c r="C32" s="4" t="inlineStr">
        <is>
          <t>Upper master bath</t>
        </is>
      </c>
      <c r="D32" s="4" t="n">
        <v>43.6</v>
      </c>
      <c r="E32" s="4" t="n">
        <v>5.4</v>
      </c>
      <c r="F32" s="4" t="inlineStr"/>
    </row>
    <row r="33">
      <c r="A33" s="4" t="inlineStr">
        <is>
          <t>BS</t>
        </is>
      </c>
      <c r="B33" s="4" t="inlineStr">
        <is>
          <t>Wash basin</t>
        </is>
      </c>
      <c r="C33" s="4" t="inlineStr">
        <is>
          <t>Upper master bath</t>
        </is>
      </c>
      <c r="D33" s="4" t="n">
        <v>43.6</v>
      </c>
      <c r="E33" s="4" t="n">
        <v>6.4</v>
      </c>
      <c r="F33" s="4" t="inlineStr"/>
    </row>
    <row r="34">
      <c r="A34" s="4" t="inlineStr">
        <is>
          <t>SH</t>
        </is>
      </c>
      <c r="B34" s="4" t="inlineStr">
        <is>
          <t>Shower mixer (hot + cold)</t>
        </is>
      </c>
      <c r="C34" s="4" t="inlineStr">
        <is>
          <t>Upper master bath</t>
        </is>
      </c>
      <c r="D34" s="4" t="n">
        <v>43.6</v>
      </c>
      <c r="E34" s="4" t="n">
        <v>8.800000000000001</v>
      </c>
      <c r="F34" s="4" t="inlineStr">
        <is>
          <t>east wall</t>
        </is>
      </c>
    </row>
    <row r="35">
      <c r="A35" s="4" t="inlineStr">
        <is>
          <t>FT</t>
        </is>
      </c>
      <c r="B35" s="4" t="inlineStr">
        <is>
          <t>Floor trap / linear drain</t>
        </is>
      </c>
      <c r="C35" s="4" t="inlineStr">
        <is>
          <t>Upper master bath</t>
        </is>
      </c>
      <c r="D35" s="4" t="n">
        <v>41</v>
      </c>
      <c r="E35" s="4" t="n">
        <v>9.4</v>
      </c>
      <c r="F35" s="4" t="inlineStr">
        <is>
          <t>linear drain along the north wall</t>
        </is>
      </c>
    </row>
    <row r="36">
      <c r="A36" s="4" t="inlineStr">
        <is>
          <t>FT</t>
        </is>
      </c>
      <c r="B36" s="4" t="inlineStr">
        <is>
          <t>Floor trap / linear drain</t>
        </is>
      </c>
      <c r="C36" s="4" t="inlineStr">
        <is>
          <t>Upper master bath</t>
        </is>
      </c>
      <c r="D36" s="4" t="n">
        <v>41.5</v>
      </c>
      <c r="E36" s="4" t="n">
        <v>6</v>
      </c>
      <c r="F36" s="4" t="inlineStr">
        <is>
          <t>dry zone trap</t>
        </is>
      </c>
    </row>
    <row r="37">
      <c r="A37" s="4" t="inlineStr">
        <is>
          <t>FT</t>
        </is>
      </c>
      <c r="B37" s="4" t="inlineStr">
        <is>
          <t>Floor trap / linear drain</t>
        </is>
      </c>
      <c r="C37" s="4" t="inlineStr">
        <is>
          <t>Covered terrace</t>
        </is>
      </c>
      <c r="D37" s="4" t="n">
        <v>60.4</v>
      </c>
      <c r="E37" s="4" t="n">
        <v>3.6</v>
      </c>
      <c r="F37" s="4" t="inlineStr">
        <is>
          <t>terrace drain, to a downpipe at the south-east corner</t>
        </is>
      </c>
    </row>
    <row r="38">
      <c r="A38" s="4" t="inlineStr">
        <is>
          <t>TAP</t>
        </is>
      </c>
      <c r="B38" s="4" t="inlineStr">
        <is>
          <t>Tap</t>
        </is>
      </c>
      <c r="C38" s="4" t="inlineStr">
        <is>
          <t>Covered terrace</t>
        </is>
      </c>
      <c r="D38" s="4" t="n">
        <v>44.4</v>
      </c>
      <c r="E38" s="4" t="n">
        <v>4.2</v>
      </c>
      <c r="F38" s="4" t="inlineStr">
        <is>
          <t>terrace tap (plants, cleaning)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4"/>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 sealed septic tank and lined soak pit sit in the spare rear land, about 15 ft from the house).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Whole house: structure and site (Guntur)</t>
        </is>
      </c>
      <c r="B11" s="4" t="inlineStr">
        <is>
          <t>Designing the footings and columns for one storey and adding the first floor later.</t>
        </is>
      </c>
      <c r="C11" s="4" t="inlineStr">
        <is>
          <t>This duplex is two storeys from day one: the engineer sizes footings, columns and the first-floor slab for both floors, with RCC column stubs at the terrace edge for the steel roof posts.</t>
        </is>
      </c>
      <c r="D11" s="4" t="inlineStr">
        <is>
          <t>A-301</t>
        </is>
      </c>
      <c r="E11" s="8" t="inlineStr"/>
    </row>
    <row r="12">
      <c r="A12" s="4" t="inlineStr">
        <is>
          <t>Poomukham and entrance</t>
        </is>
      </c>
      <c r="B12" s="4" t="inlineStr">
        <is>
          <t>Polished granite on steps and verandah: slippery when wet.</t>
        </is>
      </c>
      <c r="C12" s="4" t="inlineStr">
        <is>
          <t>Use flamed or leather-finish granite and give steps a nosing.</t>
        </is>
      </c>
      <c r="D12" s="4" t="inlineStr">
        <is>
          <t>A-108</t>
        </is>
      </c>
      <c r="E12" s="8" t="inlineStr"/>
    </row>
    <row r="13">
      <c r="A13" s="4" t="inlineStr">
        <is>
          <t>Poomukham and entrance</t>
        </is>
      </c>
      <c r="B13" s="4" t="inlineStr">
        <is>
          <t>Uneven steps (the last one different), which make people trip.</t>
        </is>
      </c>
      <c r="C13" s="4" t="inlineStr">
        <is>
          <t>Make all risers 6 in and treads 12 in, with 3 equal risers from ground to verandah.</t>
        </is>
      </c>
      <c r="D13" s="4" t="inlineStr">
        <is>
          <t>A-202, A-301</t>
        </is>
      </c>
      <c r="E13" s="8" t="inlineStr"/>
    </row>
    <row r="14">
      <c r="A14" s="4" t="inlineStr">
        <is>
          <t>Poomukham and entrance</t>
        </is>
      </c>
      <c r="B14" s="4" t="inlineStr">
        <is>
          <t>Verandah floor at the same level as the house: wind-driven rain runs in under the main door.</t>
        </is>
      </c>
      <c r="C14" s="4" t="inlineStr">
        <is>
          <t>Set the poomukham 6 in lower, sloping out 1:100, with a raised weather bar under the main door.</t>
        </is>
      </c>
      <c r="D14" s="4" t="inlineStr">
        <is>
          <t>A-108, A-502/9</t>
        </is>
      </c>
      <c r="E14" s="8" t="inlineStr"/>
    </row>
    <row r="15">
      <c r="A15" s="4" t="inlineStr">
        <is>
          <t>Poomukham and entrance</t>
        </is>
      </c>
      <c r="B15" s="4" t="inlineStr">
        <is>
          <t>No place to wash feet or leave footwear: mud and dust come inside.</t>
        </is>
      </c>
      <c r="C15" s="4" t="inlineStr">
        <is>
          <t>Put a foot-wash tap with a small drain beside the steps, and keep a shoe bench just inside the main door (here on the east wall north of the door).</t>
        </is>
      </c>
      <c r="D15" s="4" t="inlineStr">
        <is>
          <t>A-104</t>
        </is>
      </c>
      <c r="E15" s="8" t="inlineStr"/>
    </row>
    <row r="16">
      <c r="A16" s="4" t="inlineStr">
        <is>
          <t>Poomukham and entrance</t>
        </is>
      </c>
      <c r="B16" s="4" t="inlineStr">
        <is>
          <t>Oonjal (swing) hung later from the roof purlins.</t>
        </is>
      </c>
      <c r="C16" s="4" t="inlineStr">
        <is>
          <t>Cast or bolt swing hooks into the verandah beam, rated for 200 kg, before the roof goes on.</t>
        </is>
      </c>
      <c r="D16" s="4" t="inlineStr">
        <is>
          <t>A-104</t>
        </is>
      </c>
      <c r="E16" s="8" t="inlineStr"/>
    </row>
    <row r="17">
      <c r="A17" s="4" t="inlineStr">
        <is>
          <t>Poomukham and entrance</t>
        </is>
      </c>
      <c r="B17" s="4" t="inlineStr">
        <is>
          <t>Bell, CCTV and outdoor light added later with surface wiring.</t>
        </is>
      </c>
      <c r="C17" s="4" t="inlineStr">
        <is>
          <t>Run conduits now to the bell, camera, gate light and intercom.</t>
        </is>
      </c>
      <c r="D17" s="4" t="inlineStr">
        <is>
          <t>E-101, E-103</t>
        </is>
      </c>
      <c r="E17" s="8" t="inlineStr"/>
    </row>
    <row r="18">
      <c r="A18" s="4" t="inlineStr">
        <is>
          <t>Living</t>
        </is>
      </c>
      <c r="B18" s="4" t="inlineStr">
        <is>
          <t>TV on a wall facing a window, so glare washes it out.</t>
        </is>
      </c>
      <c r="C18" s="4" t="inlineStr">
        <is>
          <t>TV on the stair wall (west) of the living, the north window to the side, nothing bright behind or opposite the screen; conduit to the router under the stair.</t>
        </is>
      </c>
      <c r="D18" s="4" t="inlineStr">
        <is>
          <t>A-104, E-103</t>
        </is>
      </c>
      <c r="E18" s="8" t="inlineStr"/>
    </row>
    <row r="19">
      <c r="A19" s="4" t="inlineStr">
        <is>
          <t>Living</t>
        </is>
      </c>
      <c r="B19" s="4" t="inlineStr">
        <is>
          <t>Too few sockets, leading to extension cords across the floor.</t>
        </is>
      </c>
      <c r="C19" s="4" t="inlineStr">
        <is>
          <t>Fit sockets at the sofa end and 2 at the TV, and the router socket on the inverter circuit.</t>
        </is>
      </c>
      <c r="D19" s="4" t="inlineStr">
        <is>
          <t>E-103</t>
        </is>
      </c>
      <c r="E19" s="8" t="inlineStr"/>
    </row>
    <row r="20">
      <c r="A20" s="4" t="inlineStr">
        <is>
          <t>Living</t>
        </is>
      </c>
      <c r="B20" s="4" t="inlineStr">
        <is>
          <t>Living under a bare slab that heats up in the afternoon.</t>
        </is>
      </c>
      <c r="C20" s="4" t="inlineStr">
        <is>
          <t>The slab over the living is the covered terrace, shaded by the main roof, so it stays cool; insulate under the terrace tiles if the terrace is ever left open to the sky.</t>
        </is>
      </c>
      <c r="D20" s="4" t="inlineStr">
        <is>
          <t>A-301, A-109</t>
        </is>
      </c>
      <c r="E20" s="8" t="inlineStr"/>
    </row>
    <row r="21">
      <c r="A21" s="4" t="inlineStr">
        <is>
          <t>Living</t>
        </is>
      </c>
      <c r="B21" s="4" t="inlineStr">
        <is>
          <t>A dark living with only one outside wall to the north.</t>
        </is>
      </c>
      <c r="C21" s="4" t="inlineStr">
        <is>
          <t>Light from the north window, the main door and the poomukham, borrowed light through the stair jali; light wall and ceiling colours.</t>
        </is>
      </c>
      <c r="D21" s="4" t="inlineStr">
        <is>
          <t>A-102</t>
        </is>
      </c>
      <c r="E21" s="8" t="inlineStr"/>
    </row>
    <row r="22">
      <c r="A22" s="4" t="inlineStr">
        <is>
          <t>Living</t>
        </is>
      </c>
      <c r="B22" s="4" t="inlineStr">
        <is>
          <t>Large west or south glazing: the room overheats in April-May.</t>
        </is>
      </c>
      <c r="C22" s="4" t="inlineStr">
        <is>
          <t>Glaze to the north; light from the east comes in through the main door and poomukham; south only through jalis and sunshaded windows.</t>
        </is>
      </c>
      <c r="D22" s="4" t="inlineStr">
        <is>
          <t>A-201</t>
        </is>
      </c>
      <c r="E22" s="8" t="inlineStr"/>
    </row>
    <row r="23">
      <c r="A23" s="4" t="inlineStr">
        <is>
          <t>Living</t>
        </is>
      </c>
      <c r="B23" s="4" t="inlineStr">
        <is>
          <t>Main door swinging into the sofa or the DB.</t>
        </is>
      </c>
      <c r="C23" s="4" t="inlineStr">
        <is>
          <t>Check door swings against the furniture; the DB is in the under-stair cupboard off the lobby, away from the door and the pooja.</t>
        </is>
      </c>
      <c r="D23" s="4" t="inlineStr">
        <is>
          <t>A-104, E-103</t>
        </is>
      </c>
      <c r="E23" s="8" t="inlineStr"/>
    </row>
    <row r="24">
      <c r="A24" s="4" t="inlineStr">
        <is>
          <t>Stair and first floor</t>
        </is>
      </c>
      <c r="B24" s="4" t="inlineStr">
        <is>
          <t>Uneven risers or a short landing: people trip, furniture cannot go up.</t>
        </is>
      </c>
      <c r="C24" s="4" t="inlineStr">
        <is>
          <t>17 equal risers of about 7 in, 10 in treads, 3'-6" flights and a half landing about 7'-6" x 5'-8"; check a mattress and a wardrobe panel can turn on it.</t>
        </is>
      </c>
      <c r="D24" s="4" t="inlineStr">
        <is>
          <t>A-102, A-301</t>
        </is>
      </c>
      <c r="E24" s="8" t="inlineStr"/>
    </row>
    <row r="25">
      <c r="A25" s="4" t="inlineStr">
        <is>
          <t>Stair and first floor</t>
        </is>
      </c>
      <c r="B25" s="4" t="inlineStr">
        <is>
          <t>Low headroom where the upper flight passes over the lobby.</t>
        </is>
      </c>
      <c r="C25" s="4" t="inlineStr">
        <is>
          <t>Keep 7 ft clear wherever people walk: under the upper flight the first 2 ft is left open as part of the lobby (about 6 ft wide in front of the small bedroom), and only the low part beyond is a cupboard.</t>
        </is>
      </c>
      <c r="D25" s="4" t="inlineStr">
        <is>
          <t>A-301</t>
        </is>
      </c>
      <c r="E25" s="8" t="inlineStr"/>
    </row>
    <row r="26">
      <c r="A26" s="4" t="inlineStr">
        <is>
          <t>Stair and first floor</t>
        </is>
      </c>
      <c r="B26" s="4" t="inlineStr">
        <is>
          <t>Open stair edges and a terrace rail children can climb.</t>
        </is>
      </c>
      <c r="C26" s="4" t="inlineStr">
        <is>
          <t>Railings 3'-6" high with vertical members at 4 in gaps, no horizontal rails to climb.</t>
        </is>
      </c>
      <c r="D26" s="4" t="inlineStr">
        <is>
          <t>A-103</t>
        </is>
      </c>
      <c r="E26" s="8" t="inlineStr"/>
    </row>
    <row r="27">
      <c r="A27" s="4" t="inlineStr">
        <is>
          <t>Stair and first floor</t>
        </is>
      </c>
      <c r="B27" s="4" t="inlineStr">
        <is>
          <t>West sun on the upper floor.</t>
        </is>
      </c>
      <c r="C27" s="4" t="inlineStr">
        <is>
          <t>The upper master suite's west wall has only a small high vent; the main roof's 2 ft eave shades the walls; chiks on the terrace's south and east sides.</t>
        </is>
      </c>
      <c r="D27" s="4" t="inlineStr">
        <is>
          <t>A-202</t>
        </is>
      </c>
      <c r="E27" s="8" t="inlineStr"/>
    </row>
    <row r="28">
      <c r="A28" s="4" t="inlineStr">
        <is>
          <t>Stair and first floor</t>
        </is>
      </c>
      <c r="B28" s="4" t="inlineStr">
        <is>
          <t>Covered terrace leaking into the living below.</t>
        </is>
      </c>
      <c r="C28" s="4" t="inlineStr">
        <is>
          <t>Waterproof the whole terrace slab with upturns at the walls and posts, fall 1:80 to the drain in the south-east corner, flood-test 48 h, then tile.</t>
        </is>
      </c>
      <c r="D28" s="4" t="inlineStr">
        <is>
          <t>A-109, P-101</t>
        </is>
      </c>
      <c r="E28" s="8" t="inlineStr"/>
    </row>
    <row r="29">
      <c r="A29" s="4" t="inlineStr">
        <is>
          <t>Stair and first floor</t>
        </is>
      </c>
      <c r="B29" s="4" t="inlineStr">
        <is>
          <t>Steel roof posts rusting at the base where water sits.</t>
        </is>
      </c>
      <c r="C29" s="4" t="inlineStr">
        <is>
          <t>Hot-dip galvanised posts on RCC stubs 6 in above the terrace tiles, base plates grouted and sealed; repaint every few years.</t>
        </is>
      </c>
      <c r="D29" s="4" t="inlineStr">
        <is>
          <t>A-301</t>
        </is>
      </c>
      <c r="E29" s="8" t="inlineStr"/>
    </row>
    <row r="30">
      <c r="A30" s="4" t="inlineStr">
        <is>
          <t>Stair and first floor</t>
        </is>
      </c>
      <c r="B30" s="4" t="inlineStr">
        <is>
          <t>Rain blowing onto the terrace in the monsoon.</t>
        </is>
      </c>
      <c r="C30" s="4" t="inlineStr">
        <is>
          <t>The main roof overhangs 2 ft beyond the railings; add bamboo chiks or roll-down blinds on the south and east if needed.</t>
        </is>
      </c>
      <c r="D30" s="4" t="inlineStr">
        <is>
          <t>A-202</t>
        </is>
      </c>
      <c r="E30" s="8" t="inlineStr"/>
    </row>
    <row r="31">
      <c r="A31" s="4" t="inlineStr">
        <is>
          <t>Kitchen</t>
        </is>
      </c>
      <c r="B31" s="4" t="inlineStr">
        <is>
          <t>Counter at the Western 36 in height: tiring for Indian cooking with tall vessels.</t>
        </is>
      </c>
      <c r="C31" s="4" t="inlineStr">
        <is>
          <t>Make the counter 34 in, with a 30-31 in section for grinding and rolling chapatis.</t>
        </is>
      </c>
      <c r="D31" s="4" t="inlineStr">
        <is>
          <t>A-502/6</t>
        </is>
      </c>
      <c r="E31" s="8" t="inlineStr"/>
    </row>
    <row r="32">
      <c r="A32" s="4" t="inlineStr">
        <is>
          <t>Kitchen</t>
        </is>
      </c>
      <c r="B32" s="4" t="inlineStr">
        <is>
          <t>White glossy floor and counter: shows every turmeric stain and is slippery with oil.</t>
        </is>
      </c>
      <c r="C32" s="4" t="inlineStr">
        <is>
          <t>Use a mid-tone matt floor and a granite counter (local Chimakurthy / Ongole).</t>
        </is>
      </c>
      <c r="D32" s="4" t="inlineStr">
        <is>
          <t>A-108</t>
        </is>
      </c>
      <c r="E32" s="8" t="inlineStr"/>
    </row>
    <row r="33">
      <c r="A33" s="4" t="inlineStr">
        <is>
          <t>Kitchen</t>
        </is>
      </c>
      <c r="B33" s="4" t="inlineStr">
        <is>
          <t>Chimney duct with long bends: weak suction and grease build-up.</t>
        </is>
      </c>
      <c r="C33" s="4" t="inlineStr">
        <is>
          <t>Hob on the east run with the chimney ducted straight out through the east wall.</t>
        </is>
      </c>
      <c r="D33" s="4" t="inlineStr">
        <is>
          <t>A-502/6, E-103</t>
        </is>
      </c>
      <c r="E33" s="8" t="inlineStr"/>
    </row>
    <row r="34">
      <c r="A34" s="4" t="inlineStr">
        <is>
          <t>Kitchen</t>
        </is>
      </c>
      <c r="B34" s="4" t="inlineStr">
        <is>
          <t>Too few counter sockets.</t>
        </is>
      </c>
      <c r="C34" s="4" t="inlineStr">
        <is>
          <t>Fit 5-6 sockets at 42 in plus 16 A for the fridge, microwave / OTG and chimney; RO point by the sink.</t>
        </is>
      </c>
      <c r="D34" s="4" t="inlineStr">
        <is>
          <t>E-103</t>
        </is>
      </c>
      <c r="E34" s="8" t="inlineStr"/>
    </row>
    <row r="35">
      <c r="A35" s="4" t="inlineStr">
        <is>
          <t>Kitchen</t>
        </is>
      </c>
      <c r="B35" s="4" t="inlineStr">
        <is>
          <t>Base cabinets standing on the floor: rot and termites.</t>
        </is>
      </c>
      <c r="C35" s="4" t="inlineStr">
        <is>
          <t>Put cabinets on 4 in legs or a granite plinth.</t>
        </is>
      </c>
      <c r="D35" s="4" t="inlineStr">
        <is>
          <t>A-502/6</t>
        </is>
      </c>
      <c r="E35" s="8" t="inlineStr"/>
    </row>
    <row r="36">
      <c r="A36" s="4" t="inlineStr">
        <is>
          <t>Kitchen</t>
        </is>
      </c>
      <c r="B36" s="4" t="inlineStr">
        <is>
          <t>Gas cylinder in a closed cabinet under the hob.</t>
        </is>
      </c>
      <c r="C36" s="4" t="inlineStr">
        <is>
          <t>Keep the cylinder in the wet area with a fixed copper / steel line and a valve through the wall.</t>
        </is>
      </c>
      <c r="D36" s="4" t="inlineStr">
        <is>
          <t>A-104</t>
        </is>
      </c>
      <c r="E36" s="8" t="inlineStr"/>
    </row>
    <row r="37">
      <c r="A37" s="4" t="inlineStr">
        <is>
          <t>Kitchen</t>
        </is>
      </c>
      <c r="B37" s="4" t="inlineStr">
        <is>
          <t>Kitchen drain without a grease trap: chokes within a year.</t>
        </is>
      </c>
      <c r="C37" s="4" t="inlineStr">
        <is>
          <t>Put a grease trap outside, before any junction.</t>
        </is>
      </c>
      <c r="D37" s="4" t="inlineStr">
        <is>
          <t>P-101</t>
        </is>
      </c>
      <c r="E37" s="8" t="inlineStr"/>
    </row>
    <row r="38">
      <c r="A38" s="4" t="inlineStr">
        <is>
          <t>Kitchen</t>
        </is>
      </c>
      <c r="B38" s="4" t="inlineStr">
        <is>
          <t>Fridge beside the hob or in direct sun.</t>
        </is>
      </c>
      <c r="C38" s="4" t="inlineStr">
        <is>
          <t>Fridge on the kitchen's north wall, clear of the entry door and away from the hob.</t>
        </is>
      </c>
      <c r="D38" s="4" t="inlineStr">
        <is>
          <t>A-104</t>
        </is>
      </c>
      <c r="E38" s="8" t="inlineStr"/>
    </row>
    <row r="39">
      <c r="A39" s="4" t="inlineStr">
        <is>
          <t>Wet area, store and kitchen entry</t>
        </is>
      </c>
      <c r="B39" s="4" t="inlineStr">
        <is>
          <t>A narrow kitchen entry squeezed past a TV wall: two people can't pass and serving is awkward.</t>
        </is>
      </c>
      <c r="C39" s="4" t="inlineStr">
        <is>
          <t>The kitchen is entered through a 3 ft hinged door on its west side, straight off the dining; the wet area opens off the kitchen through a sliding door.</t>
        </is>
      </c>
      <c r="D39" s="4" t="inlineStr">
        <is>
          <t>A-102</t>
        </is>
      </c>
      <c r="E39" s="8" t="inlineStr"/>
    </row>
    <row r="40">
      <c r="A40" s="4" t="inlineStr">
        <is>
          <t>Wet area, store and kitchen entry</t>
        </is>
      </c>
      <c r="B40" s="4" t="inlineStr">
        <is>
          <t>Wet area that floods in heavy rain, or a service door that becomes a back door for intruders.</t>
        </is>
      </c>
      <c r="C40" s="4" t="inlineStr">
        <is>
          <t>Floor 3 in below the house sloping to its trap; a lockable steel service door to the walkway with a kerb.</t>
        </is>
      </c>
      <c r="D40" s="4" t="inlineStr">
        <is>
          <t>A-102, A-108</t>
        </is>
      </c>
      <c r="E40" s="8" t="inlineStr"/>
    </row>
    <row r="41">
      <c r="A41" s="4" t="inlineStr">
        <is>
          <t>Wet area, store and kitchen entry</t>
        </is>
      </c>
      <c r="B41" s="4" t="inlineStr">
        <is>
          <t>Washing machine with no tap, drain or socket at the right height.</t>
        </is>
      </c>
      <c r="C41" s="4" t="inlineStr">
        <is>
          <t>Provide a tap at 3 ft, a floor drain behind the machine and a splash-proof 16 A socket at 4 ft.</t>
        </is>
      </c>
      <c r="D41" s="4" t="inlineStr">
        <is>
          <t>P-101, E-103</t>
        </is>
      </c>
      <c r="E41" s="8" t="inlineStr"/>
    </row>
    <row r="42">
      <c r="A42" s="4" t="inlineStr">
        <is>
          <t>Wet area, store and kitchen entry</t>
        </is>
      </c>
      <c r="B42" s="4" t="inlineStr">
        <is>
          <t>No store, so provisions end up on the floor.</t>
        </is>
      </c>
      <c r="C42" s="4" t="inlineStr">
        <is>
          <t>A 4 x 4'-6" store off the dining with full-height racks, a high jali vent and a jali above the door; lofts over the kitchen.</t>
        </is>
      </c>
      <c r="D42" s="4" t="inlineStr">
        <is>
          <t>A-104</t>
        </is>
      </c>
      <c r="E42" s="8" t="inlineStr"/>
    </row>
    <row r="43">
      <c r="A43" s="4" t="inlineStr">
        <is>
          <t>Wet area, store and kitchen entry</t>
        </is>
      </c>
      <c r="B43" s="4" t="inlineStr">
        <is>
          <t>Inverter batteries in a bedroom or a closed cupboard.</t>
        </is>
      </c>
      <c r="C43" s="4" t="inlineStr">
        <is>
          <t>Lithium inverter in the ventilated under-stair cupboard, away from water and bedrooms.</t>
        </is>
      </c>
      <c r="D43" s="4" t="inlineStr">
        <is>
          <t>E-103</t>
        </is>
      </c>
      <c r="E43" s="8" t="inlineStr"/>
    </row>
    <row r="44">
      <c r="A44" s="4" t="inlineStr">
        <is>
          <t>Pooja</t>
        </is>
      </c>
      <c r="B44" s="4" t="inlineStr">
        <is>
          <t>Lamp smoke blackens the ceiling and the teak panelling.</t>
        </is>
      </c>
      <c r="C44" s="4" t="inlineStr">
        <is>
          <t>Fit a heat-proof granite or brass back panel behind the diya and a small high vent; use a washable ceiling finish.</t>
        </is>
      </c>
      <c r="D44" s="4" t="inlineStr">
        <is>
          <t>A-108</t>
        </is>
      </c>
      <c r="E44" s="8" t="inlineStr"/>
    </row>
    <row r="45">
      <c r="A45" s="4" t="inlineStr">
        <is>
          <t>Pooja</t>
        </is>
      </c>
      <c r="B45" s="4" t="inlineStr">
        <is>
          <t>Pooja sharing a wall with a toilet.</t>
        </is>
      </c>
      <c r="C45" s="4" t="inlineStr">
        <is>
          <t>Here the pooja sits in the living's south-east corner, back to back with the kitchen (no toilet on any side), opening west into the living with doors that open inward.</t>
        </is>
      </c>
      <c r="D45" s="4" t="inlineStr">
        <is>
          <t>A-102</t>
        </is>
      </c>
      <c r="E45" s="8" t="inlineStr"/>
    </row>
    <row r="46">
      <c r="A46" s="4" t="inlineStr">
        <is>
          <t>Pooja</t>
        </is>
      </c>
      <c r="B46" s="4" t="inlineStr">
        <is>
          <t>Polished marble floor that becomes slippery with oil.</t>
        </is>
      </c>
      <c r="C46" s="4" t="inlineStr">
        <is>
          <t>Use honed (matt) marble or teak.</t>
        </is>
      </c>
      <c r="D46" s="4" t="inlineStr">
        <is>
          <t>A-108</t>
        </is>
      </c>
      <c r="E46" s="8" t="inlineStr"/>
    </row>
    <row r="47">
      <c r="A47" s="4" t="inlineStr">
        <is>
          <t>Bedrooms</t>
        </is>
      </c>
      <c r="B47" s="4" t="inlineStr">
        <is>
          <t>AC indoor unit above the bed head: cold air blows on your head all night.</t>
        </is>
      </c>
      <c r="C47" s="4" t="inlineStr">
        <is>
          <t>Mount the AC on a side or opposite wall, throwing across the bed.</t>
        </is>
      </c>
      <c r="D47" s="4" t="inlineStr">
        <is>
          <t>E-103</t>
        </is>
      </c>
      <c r="E47" s="8" t="inlineStr"/>
    </row>
    <row r="48">
      <c r="A48" s="4" t="inlineStr">
        <is>
          <t>Bedrooms</t>
        </is>
      </c>
      <c r="B48" s="4" t="inlineStr">
        <is>
          <t>Only one switchboard at the door.</t>
        </is>
      </c>
      <c r="C48" s="4" t="inlineStr">
        <is>
          <t>Add 2-way switches at the bed for the light and fan, plus bedside sockets.</t>
        </is>
      </c>
      <c r="D48" s="4" t="inlineStr">
        <is>
          <t>E-101, E-103</t>
        </is>
      </c>
      <c r="E48" s="8" t="inlineStr"/>
    </row>
    <row r="49">
      <c r="A49" s="4" t="inlineStr">
        <is>
          <t>Bedrooms</t>
        </is>
      </c>
      <c r="B49" s="4" t="inlineStr">
        <is>
          <t>Wardrobe shallower than 2 ft: hangers do not fit.</t>
        </is>
      </c>
      <c r="C49" s="4" t="inlineStr">
        <is>
          <t>Make wardrobes 2 ft deep with lofts above to the false ceiling.</t>
        </is>
      </c>
      <c r="D49" s="4" t="inlineStr">
        <is>
          <t>A-104, A-105</t>
        </is>
      </c>
      <c r="E49" s="8" t="inlineStr"/>
    </row>
    <row r="50">
      <c r="A50" s="4" t="inlineStr">
        <is>
          <t>Bedrooms</t>
        </is>
      </c>
      <c r="B50" s="4" t="inlineStr">
        <is>
          <t>2'-6" bedroom doors: a mattress or cupboard cannot go in later.</t>
        </is>
      </c>
      <c r="C50" s="4" t="inlineStr">
        <is>
          <t>Make bedroom doors 3'-0".</t>
        </is>
      </c>
      <c r="D50" s="4" t="inlineStr">
        <is>
          <t>A-401</t>
        </is>
      </c>
      <c r="E50" s="8" t="inlineStr"/>
    </row>
    <row r="51">
      <c r="A51" s="4" t="inlineStr">
        <is>
          <t>Bedrooms</t>
        </is>
      </c>
      <c r="B51" s="4" t="inlineStr">
        <is>
          <t>Curtain rods, TV brackets and fan hooks screwed into plain AAC, which pulls out.</t>
        </is>
      </c>
      <c r="C51" s="4" t="inlineStr">
        <is>
          <t>Fix timber grounds or use AAC-rated anchors, marked before plaster.</t>
        </is>
      </c>
      <c r="D51" s="4" t="inlineStr">
        <is>
          <t>A-001</t>
        </is>
      </c>
      <c r="E51" s="8" t="inlineStr"/>
    </row>
    <row r="52">
      <c r="A52" s="4" t="inlineStr">
        <is>
          <t>Bedrooms</t>
        </is>
      </c>
      <c r="B52" s="4" t="inlineStr">
        <is>
          <t>Windows without mesh, so mosquito coils every night.</t>
        </is>
      </c>
      <c r="C52" s="4" t="inlineStr">
        <is>
          <t>Put insect mesh on a separate frame on every opening.</t>
        </is>
      </c>
      <c r="D52" s="4" t="inlineStr">
        <is>
          <t>A-401</t>
        </is>
      </c>
      <c r="E52" s="8" t="inlineStr"/>
    </row>
    <row r="53">
      <c r="A53" s="4" t="inlineStr">
        <is>
          <t>Wardrobes and dressing</t>
        </is>
      </c>
      <c r="B53" s="4" t="inlineStr">
        <is>
          <t>Clothes stored in a walk-in only one person can use.</t>
        </is>
      </c>
      <c r="C53" s="4" t="inlineStr">
        <is>
          <t>The upper master has a dressing room between the bedroom and its bath; the ground master and small bedroom have built-in wardrobes with lofts.</t>
        </is>
      </c>
      <c r="D53" s="4" t="inlineStr">
        <is>
          <t>A-108</t>
        </is>
      </c>
      <c r="E53" s="8" t="inlineStr"/>
    </row>
    <row r="54">
      <c r="A54" s="4" t="inlineStr">
        <is>
          <t>Wardrobes and dressing</t>
        </is>
      </c>
      <c r="B54" s="4" t="inlineStr">
        <is>
          <t>Dressing mirror lit from behind.</t>
        </is>
      </c>
      <c r="C54" s="4" t="inlineStr">
        <is>
          <t>Mount the mirror light above or beside the mirror.</t>
        </is>
      </c>
      <c r="D54" s="4" t="inlineStr">
        <is>
          <t>E-101, E-102</t>
        </is>
      </c>
      <c r="E54" s="8" t="inlineStr"/>
    </row>
    <row r="55">
      <c r="A55" s="4" t="inlineStr">
        <is>
          <t>Bathrooms</t>
        </is>
      </c>
      <c r="B55" s="4" t="inlineStr">
        <is>
          <t>Raised step at the bathroom door, which people trip on at night.</t>
        </is>
      </c>
      <c r="C55" s="4" t="inlineStr">
        <is>
          <t>Drop the bathroom 12 mm with a sloped granite threshold and no step.</t>
        </is>
      </c>
      <c r="D55" s="4" t="inlineStr">
        <is>
          <t>A-502/5</t>
        </is>
      </c>
      <c r="E55" s="8" t="inlineStr"/>
    </row>
    <row r="56">
      <c r="A56" s="4" t="inlineStr">
        <is>
          <t>Bathrooms</t>
        </is>
      </c>
      <c r="B56" s="4" t="inlineStr">
        <is>
          <t>Whole floor sloped to one trap: the entire bathroom is always wet.</t>
        </is>
      </c>
      <c r="C56" s="4" t="inlineStr">
        <is>
          <t>Separate wet and dry zones: a linear drain in the shower, the dry zone nearly flat, and a glass partition.</t>
        </is>
      </c>
      <c r="D56" s="4" t="inlineStr">
        <is>
          <t>A-502/5</t>
        </is>
      </c>
      <c r="E56" s="8" t="inlineStr"/>
    </row>
    <row r="57">
      <c r="A57" s="4" t="inlineStr">
        <is>
          <t>Bathrooms</t>
        </is>
      </c>
      <c r="B57" s="4" t="inlineStr">
        <is>
          <t>No waterproofing or flood test: damp skirting in the next bedroom within a year.</t>
        </is>
      </c>
      <c r="C57" s="4" t="inlineStr">
        <is>
          <t>Waterproof the floor, 12 in up the walls and 7 ft in the shower, then do a 48 h flood test before tiling.</t>
        </is>
      </c>
      <c r="D57" s="4" t="inlineStr">
        <is>
          <t>A-502/5, A-001</t>
        </is>
      </c>
      <c r="E57" s="8" t="inlineStr"/>
    </row>
    <row r="58">
      <c r="A58" s="4" t="inlineStr">
        <is>
          <t>Bathrooms</t>
        </is>
      </c>
      <c r="B58" s="4" t="inlineStr">
        <is>
          <t>Wooden door frame standing in the wet floor.</t>
        </is>
      </c>
      <c r="C58" s="4" t="inlineStr">
        <is>
          <t>Use a WPC / FRP shutter with the frame on a granite or WPC block.</t>
        </is>
      </c>
      <c r="D58" s="4" t="inlineStr">
        <is>
          <t>A-401, A-502/9</t>
        </is>
      </c>
      <c r="E58" s="8" t="inlineStr"/>
    </row>
    <row r="59">
      <c r="A59" s="4" t="inlineStr">
        <is>
          <t>Bathrooms</t>
        </is>
      </c>
      <c r="B59" s="4" t="inlineStr">
        <is>
          <t>Exhaust fan blowing into the false ceiling.</t>
        </is>
      </c>
      <c r="C59" s="4" t="inlineStr">
        <is>
          <t>Duct the exhaust fan straight out through the outer wall.</t>
        </is>
      </c>
      <c r="D59" s="4" t="inlineStr">
        <is>
          <t>E-101</t>
        </is>
      </c>
      <c r="E59" s="8" t="inlineStr"/>
    </row>
    <row r="60">
      <c r="A60" s="4" t="inlineStr">
        <is>
          <t>Bathrooms</t>
        </is>
      </c>
      <c r="B60" s="4" t="inlineStr">
        <is>
          <t>Geyser hidden above the false ceiling, which can't be serviced.</t>
        </is>
      </c>
      <c r="C60" s="4" t="inlineStr">
        <is>
          <t>Wall-mount it at 6'-6" with the switch outside; leave a ceiling access panel at the concealed cistern.</t>
        </is>
      </c>
      <c r="D60" s="4" t="inlineStr">
        <is>
          <t>E-103</t>
        </is>
      </c>
      <c r="E60" s="8" t="inlineStr"/>
    </row>
    <row r="61">
      <c r="A61" s="4" t="inlineStr">
        <is>
          <t>Bathrooms</t>
        </is>
      </c>
      <c r="B61" s="4" t="inlineStr">
        <is>
          <t>Black or glossy tiles and chrome fittings with Guntur's hard water: white scale shows everywhere.</t>
        </is>
      </c>
      <c r="C61" s="4" t="inlineStr">
        <is>
          <t>Use light matt tiles and matt / PVD fittings, plus a softener if hardness is high.</t>
        </is>
      </c>
      <c r="D61" s="4" t="inlineStr">
        <is>
          <t>A-108, P-101</t>
        </is>
      </c>
      <c r="E61" s="8" t="inlineStr"/>
    </row>
    <row r="62">
      <c r="A62" s="4" t="inlineStr">
        <is>
          <t>Bathrooms</t>
        </is>
      </c>
      <c r="B62" s="4" t="inlineStr">
        <is>
          <t>Bath over a bedroom or the living: a leak shows on the ceiling below.</t>
        </is>
      </c>
      <c r="C62" s="4" t="inlineStr">
        <is>
          <t>The upper bath sits exactly over the common bath (wet over wet); waterproof its slab, flood-test it and keep its WC stack in the wet wall.</t>
        </is>
      </c>
      <c r="D62" s="4" t="inlineStr">
        <is>
          <t>A-109, P-101</t>
        </is>
      </c>
      <c r="E62" s="8" t="inlineStr"/>
    </row>
    <row r="63">
      <c r="A63" s="4" t="inlineStr">
        <is>
          <t>Bathrooms</t>
        </is>
      </c>
      <c r="B63" s="4" t="inlineStr">
        <is>
          <t>No backing for grab bars later.</t>
        </is>
      </c>
      <c r="C63" s="4" t="inlineStr">
        <is>
          <t>Fix blocking in the walls beside the WC and shower now.</t>
        </is>
      </c>
      <c r="D63" s="4" t="inlineStr">
        <is>
          <t>A-502/5</t>
        </is>
      </c>
      <c r="E63" s="8" t="inlineStr"/>
    </row>
    <row r="64">
      <c r="A64" s="4" t="inlineStr">
        <is>
          <t>Study table (small bedroom)</t>
        </is>
      </c>
      <c r="B64" s="4" t="inlineStr">
        <is>
          <t>Window behind the screen (silhouette on video calls) or in front of it (glare).</t>
        </is>
      </c>
      <c r="C64" s="4" t="inlineStr">
        <is>
          <t>The study table sits on the south wall with the north window to the side.</t>
        </is>
      </c>
      <c r="D64" s="4" t="inlineStr">
        <is>
          <t>A-104</t>
        </is>
      </c>
      <c r="E64" s="8" t="inlineStr"/>
    </row>
    <row r="65">
      <c r="A65" s="4" t="inlineStr">
        <is>
          <t>Study table (small bedroom)</t>
        </is>
      </c>
      <c r="B65" s="4" t="inlineStr">
        <is>
          <t>Not enough power or data.</t>
        </is>
      </c>
      <c r="C65" s="4" t="inlineStr">
        <is>
          <t>Fit a UPS socket, a normal socket and a Cat6 point at the table, with the router on the inverter.</t>
        </is>
      </c>
      <c r="D65" s="4" t="inlineStr">
        <is>
          <t>E-103</t>
        </is>
      </c>
      <c r="E65" s="8" t="inlineStr"/>
    </row>
    <row r="66">
      <c r="A66" s="4" t="inlineStr">
        <is>
          <t>Doors and windows</t>
        </is>
      </c>
      <c r="B66" s="4" t="inlineStr">
        <is>
          <t>Solid walls and closed doors between rooms: no breeze crosses the house at night.</t>
        </is>
      </c>
      <c r="C66" s="4" t="inlineStr">
        <is>
          <t>Put a vent above inner doors where privacy allows, 7'-6" to 9'-0": open jali for the pooja and the store.</t>
        </is>
      </c>
      <c r="D66" s="4" t="inlineStr">
        <is>
          <t>A-401</t>
        </is>
      </c>
      <c r="E66" s="8" t="inlineStr"/>
    </row>
    <row r="67">
      <c r="A67" s="4" t="inlineStr">
        <is>
          <t>Doors and windows</t>
        </is>
      </c>
      <c r="B67" s="4" t="inlineStr">
        <is>
          <t>Open vents above bedroom and bathroom doors: conversation, TV and smells carry.</t>
        </is>
      </c>
      <c r="C67" s="4" t="inlineStr">
        <is>
          <t>No vents at bedrooms (windows, fans and AC are enough) or bathrooms (the door's bottom louvre feeds the exhaust fan).</t>
        </is>
      </c>
      <c r="D67" s="4" t="inlineStr">
        <is>
          <t>A-401</t>
        </is>
      </c>
      <c r="E67" s="8" t="inlineStr"/>
    </row>
    <row r="68">
      <c r="A68" s="4" t="inlineStr">
        <is>
          <t>Doors and windows</t>
        </is>
      </c>
      <c r="B68" s="4" t="inlineStr">
        <is>
          <t>A long corridor that wastes area.</t>
        </is>
      </c>
      <c r="C68" s="4" t="inlineStr">
        <is>
          <t>Here the lobby opens into the space under the upper flight, so the way to the small bedroom is about 6 ft wide at first, narrowing to a short 2'-6" passage that also serves the linen cupboard.</t>
        </is>
      </c>
      <c r="D68" s="4" t="inlineStr">
        <is>
          <t>A-106</t>
        </is>
      </c>
      <c r="E68" s="8" t="inlineStr"/>
    </row>
    <row r="69">
      <c r="A69" s="4" t="inlineStr">
        <is>
          <t>Doors and windows</t>
        </is>
      </c>
      <c r="B69" s="4" t="inlineStr">
        <is>
          <t>No drip groove under sills and sunshades: black streaks down the walls.</t>
        </is>
      </c>
      <c r="C69" s="4" t="inlineStr">
        <is>
          <t>Slope every external sill 1:10 with a drip groove, and give every chajja a drip groove under its edge.</t>
        </is>
      </c>
      <c r="D69" s="4" t="inlineStr">
        <is>
          <t>A-501/3</t>
        </is>
      </c>
      <c r="E69" s="8" t="inlineStr"/>
    </row>
    <row r="70">
      <c r="A70" s="4" t="inlineStr">
        <is>
          <t>Doors and windows</t>
        </is>
      </c>
      <c r="B70" s="4" t="inlineStr">
        <is>
          <t>Unseasoned teak that warps and jams.</t>
        </is>
      </c>
      <c r="C70" s="4" t="inlineStr">
        <is>
          <t>Use kiln-seasoned wood, or sal / pinkado frames and UPVC on the wet side.</t>
        </is>
      </c>
      <c r="D70" s="4" t="inlineStr">
        <is>
          <t>A-401</t>
        </is>
      </c>
      <c r="E70" s="8" t="inlineStr"/>
    </row>
    <row r="71">
      <c r="A71" s="4" t="inlineStr">
        <is>
          <t>Doors and windows</t>
        </is>
      </c>
      <c r="B71" s="4" t="inlineStr">
        <is>
          <t>Mild-steel hinges and screws that rust with humidity and hard water.</t>
        </is>
      </c>
      <c r="C71" s="4" t="inlineStr">
        <is>
          <t>Use SS 304 hardware, with magnetic stoppers on every door.</t>
        </is>
      </c>
      <c r="D71" s="4" t="inlineStr">
        <is>
          <t>A-401</t>
        </is>
      </c>
      <c r="E71" s="8" t="inlineStr"/>
    </row>
    <row r="72">
      <c r="A72" s="4" t="inlineStr">
        <is>
          <t>Doors and windows</t>
        </is>
      </c>
      <c r="B72" s="4" t="inlineStr">
        <is>
          <t>Grill with no openable section: no way out in a fire.</t>
        </is>
      </c>
      <c r="C72" s="4" t="inlineStr">
        <is>
          <t>Give each bedroom one escape window with an openable grill.</t>
        </is>
      </c>
      <c r="D72" s="4" t="inlineStr">
        <is>
          <t>A-401</t>
        </is>
      </c>
      <c r="E72" s="8" t="inlineStr"/>
    </row>
    <row r="73">
      <c r="A73" s="4" t="inlineStr">
        <is>
          <t>Floors, walls and finishes</t>
        </is>
      </c>
      <c r="B73" s="4" t="inlineStr">
        <is>
          <t>Skirting stuck on top of the plaster: a dust ledge that also chips.</t>
        </is>
      </c>
      <c r="C73" s="4" t="inlineStr">
        <is>
          <t>Set the skirting flush with the plaster face, with a groove above it.</t>
        </is>
      </c>
      <c r="D73" s="4" t="inlineStr">
        <is>
          <t>A-501/2</t>
        </is>
      </c>
      <c r="E73" s="8" t="inlineStr"/>
    </row>
    <row r="74">
      <c r="A74" s="4" t="inlineStr">
        <is>
          <t>Floors, walls and finishes</t>
        </is>
      </c>
      <c r="B74" s="4" t="inlineStr">
        <is>
          <t>Tiles laid tight to the walls: they pop up (tenting) in 45 C summers.</t>
        </is>
      </c>
      <c r="C74" s="4" t="inlineStr">
        <is>
          <t>Leave 5 mm gaps at walls and movement joints every 15-20 ft, hidden by the skirting.</t>
        </is>
      </c>
      <c r="D74" s="4" t="inlineStr">
        <is>
          <t>A-501/2, A-108</t>
        </is>
      </c>
      <c r="E74" s="8" t="inlineStr"/>
    </row>
    <row r="75">
      <c r="A75" s="4" t="inlineStr">
        <is>
          <t>Floors, walls and finishes</t>
        </is>
      </c>
      <c r="B75" s="4" t="inlineStr">
        <is>
          <t>Cement grout in bathrooms turns black.</t>
        </is>
      </c>
      <c r="C75" s="4" t="inlineStr">
        <is>
          <t>Use epoxy grout in wet areas.</t>
        </is>
      </c>
      <c r="D75" s="4" t="inlineStr">
        <is>
          <t>A-001</t>
        </is>
      </c>
      <c r="E75" s="8" t="inlineStr"/>
    </row>
    <row r="76">
      <c r="A76" s="4" t="inlineStr">
        <is>
          <t>Floors, walls and finishes</t>
        </is>
      </c>
      <c r="B76" s="4" t="inlineStr">
        <is>
          <t>Exterior paint that chalks and fades in strong sun.</t>
        </is>
      </c>
      <c r="C76" s="4" t="inlineStr">
        <is>
          <t>Use a waterproof plaster additive and elastomeric or UV-stable exterior paint.</t>
        </is>
      </c>
      <c r="D76" s="4" t="inlineStr">
        <is>
          <t>A-601</t>
        </is>
      </c>
      <c r="E76" s="8" t="inlineStr"/>
    </row>
    <row r="77">
      <c r="A77" s="4" t="inlineStr">
        <is>
          <t>Roof and rainwater</t>
        </is>
      </c>
      <c r="B77" s="4" t="inlineStr">
        <is>
          <t>Clay tiles just resting on battens: a cyclone strips the edges first.</t>
        </is>
      </c>
      <c r="C77" s="4" t="inlineStr">
        <is>
          <t>Clip or screw every eave, verge, hip and ridge tile, plus every third row elsewhere.</t>
        </is>
      </c>
      <c r="D77" s="4" t="inlineStr">
        <is>
          <t>A-110, A-501/4</t>
        </is>
      </c>
      <c r="E77" s="8" t="inlineStr"/>
    </row>
    <row r="78">
      <c r="A78" s="4" t="inlineStr">
        <is>
          <t>Roof and rainwater</t>
        </is>
      </c>
      <c r="B78" s="4" t="inlineStr">
        <is>
          <t>Water creeping back under the eave tiles and into the soffit.</t>
        </is>
      </c>
      <c r="C78" s="4" t="inlineStr">
        <is>
          <t>Use a fascia with drip-edge flashing turned down into the gutter, and raise the first tile row on a tilting fillet.</t>
        </is>
      </c>
      <c r="D78" s="4" t="inlineStr">
        <is>
          <t>A-501/4</t>
        </is>
      </c>
      <c r="E78" s="8" t="inlineStr"/>
    </row>
    <row r="79">
      <c r="A79" s="4" t="inlineStr">
        <is>
          <t>Roof and rainwater</t>
        </is>
      </c>
      <c r="B79" s="4" t="inlineStr">
        <is>
          <t>No gutters: roof water splashes the plinth and soaks the foundation.</t>
        </is>
      </c>
      <c r="C79" s="4" t="inlineStr">
        <is>
          <t>Gutters on both long eaves, downpipes into the sump filter; overflow to the road drain (no recharge pit near the walls on this narrow plot).</t>
        </is>
      </c>
      <c r="D79" s="4" t="inlineStr">
        <is>
          <t>A-110, P-101</t>
        </is>
      </c>
      <c r="E79" s="8" t="inlineStr"/>
    </row>
    <row r="80">
      <c r="A80" s="4" t="inlineStr">
        <is>
          <t>Roof and rainwater</t>
        </is>
      </c>
      <c r="B80" s="4" t="inlineStr">
        <is>
          <t>Where the low front roof meets the two-storey wall: the joint sealed only with mortar.</t>
        </is>
      </c>
      <c r="C80" s="4" t="inlineStr">
        <is>
          <t>Use a metal apron flashing chased into the wall with a counter-flashing.</t>
        </is>
      </c>
      <c r="D80" s="4" t="inlineStr">
        <is>
          <t>A-110</t>
        </is>
      </c>
      <c r="E80" s="8" t="inlineStr"/>
    </row>
    <row r="81">
      <c r="A81" s="4" t="inlineStr">
        <is>
          <t>Roof and rainwater</t>
        </is>
      </c>
      <c r="B81" s="4" t="inlineStr">
        <is>
          <t>No insulation under Mangalore tiles: rooms radiate heat until midnight.</t>
        </is>
      </c>
      <c r="C81" s="4" t="inlineStr">
        <is>
          <t>Add 50 mm insulation on the deck, ventilate the attic at ridge and soffits, and fit insulated false ceilings in bedrooms.</t>
        </is>
      </c>
      <c r="D81" s="4" t="inlineStr">
        <is>
          <t>A-301, A-501/4</t>
        </is>
      </c>
      <c r="E81" s="8" t="inlineStr"/>
    </row>
    <row r="82">
      <c r="A82" s="4" t="inlineStr">
        <is>
          <t>Roof and rainwater</t>
        </is>
      </c>
      <c r="B82" s="4" t="inlineStr">
        <is>
          <t>Birds, bats and rats nesting in the roof.</t>
        </is>
      </c>
      <c r="C82" s="4" t="inlineStr">
        <is>
          <t>Bird stops at the eaves and mesh at ridge vents and soffits.</t>
        </is>
      </c>
      <c r="D82" s="4" t="inlineStr">
        <is>
          <t>A-501/4</t>
        </is>
      </c>
      <c r="E82" s="8" t="inlineStr"/>
    </row>
    <row r="83">
      <c r="A83" s="4" t="inlineStr">
        <is>
          <t>Electrical</t>
        </is>
      </c>
      <c r="B83" s="4" t="inlineStr">
        <is>
          <t>One circuit for everything; cheap wire.</t>
        </is>
      </c>
      <c r="C83" s="4" t="inlineStr">
        <is>
          <t>Separate MCBs for each AC, geyser, kitchen and pump; RCCB 30 mA; FR-LSH copper wire sized per load.</t>
        </is>
      </c>
      <c r="D83" s="4" t="inlineStr">
        <is>
          <t>E-103</t>
        </is>
      </c>
      <c r="E83" s="8" t="inlineStr"/>
    </row>
    <row r="84">
      <c r="A84" s="4" t="inlineStr">
        <is>
          <t>Electrical</t>
        </is>
      </c>
      <c r="B84" s="4" t="inlineStr">
        <is>
          <t>No inverter wiring planned, so it gets rewired later.</t>
        </is>
      </c>
      <c r="C84" s="4" t="inlineStr">
        <is>
          <t>Put lights, fans, office sockets and the router on a separate inverter circuit from day one.</t>
        </is>
      </c>
      <c r="D84" s="4" t="inlineStr">
        <is>
          <t>E-101, E-103</t>
        </is>
      </c>
      <c r="E84" s="8" t="inlineStr"/>
    </row>
    <row r="85">
      <c r="A85" s="4" t="inlineStr">
        <is>
          <t>Electrical</t>
        </is>
      </c>
      <c r="B85" s="4" t="inlineStr">
        <is>
          <t>AC drain pipe dripping down the wall and sleeves forgotten.</t>
        </is>
      </c>
      <c r="C85" s="4" t="inlineStr">
        <is>
          <t>Fit a 65 mm sleeve sloping out, a drain to a gully, and ODU brackets on shaded walls.</t>
        </is>
      </c>
      <c r="D85" s="4" t="inlineStr">
        <is>
          <t>E-103</t>
        </is>
      </c>
      <c r="E85" s="8" t="inlineStr"/>
    </row>
    <row r="86">
      <c r="A86" s="4" t="inlineStr">
        <is>
          <t>Electrical</t>
        </is>
      </c>
      <c r="B86" s="4" t="inlineStr">
        <is>
          <t>No spare conduits for solar PV, CCTV, the sump pump and gate.</t>
        </is>
      </c>
      <c r="C86" s="4" t="inlineStr">
        <is>
          <t>Run empty 25 mm conduits to the DB now; it costs little at this stage.</t>
        </is>
      </c>
      <c r="D86" s="4" t="inlineStr">
        <is>
          <t>E-103, A-110</t>
        </is>
      </c>
      <c r="E86" s="8" t="inlineStr"/>
    </row>
    <row r="87">
      <c r="A87" s="4" t="inlineStr">
        <is>
          <t>Plumbing and water</t>
        </is>
      </c>
      <c r="B87" s="4" t="inlineStr">
        <is>
          <t>Pipes buried under the floor slab: leaks can't be found without breaking tiles.</t>
        </is>
      </c>
      <c r="C87" s="4" t="inlineStr">
        <is>
          <t>Run supply lines along the outside walls in clamps or shallow chases, with a valve per room.</t>
        </is>
      </c>
      <c r="D87" s="4" t="inlineStr">
        <is>
          <t>P-101</t>
        </is>
      </c>
      <c r="E87" s="8" t="inlineStr"/>
    </row>
    <row r="88">
      <c r="A88" s="4" t="inlineStr">
        <is>
          <t>Plumbing and water</t>
        </is>
      </c>
      <c r="B88" s="4" t="inlineStr">
        <is>
          <t>Water tank too low over a first-floor shower: no pressure.</t>
        </is>
      </c>
      <c r="C88" s="4" t="inlineStr">
        <is>
          <t>A 1,000 L loft tank in the roof space over the upper bath, filled from the sump, plus a small pressure pump for the showers.</t>
        </is>
      </c>
      <c r="D88" s="4" t="inlineStr">
        <is>
          <t>P-101, A-110</t>
        </is>
      </c>
      <c r="E88" s="8" t="inlineStr"/>
    </row>
    <row r="89">
      <c r="A89" s="4" t="inlineStr">
        <is>
          <t>Plumbing and water</t>
        </is>
      </c>
      <c r="B89" s="4" t="inlineStr">
        <is>
          <t>All waste going into the septic tank, which overloads it.</t>
        </is>
      </c>
      <c r="C89" s="4" t="inlineStr">
        <is>
          <t>Keep soil and grey water separate: soil to the septic, grey to the soak pit or a road drain, with inspection chambers at every bend.</t>
        </is>
      </c>
      <c r="D89" s="4" t="inlineStr">
        <is>
          <t>P-101</t>
        </is>
      </c>
      <c r="E89" s="8" t="inlineStr"/>
    </row>
    <row r="90">
      <c r="A90" s="4" t="inlineStr">
        <is>
          <t>Plumbing and water</t>
        </is>
      </c>
      <c r="B90" s="4" t="inlineStr">
        <is>
          <t>Drinking borewell water without testing it (fluoride is common around Guntur).</t>
        </is>
      </c>
      <c r="C90" s="4" t="inlineStr">
        <is>
          <t>Test the water; RO at the kitchen for drinking, and a softener if hardness exceeds 300 mg/l.</t>
        </is>
      </c>
      <c r="D90" s="4" t="inlineStr">
        <is>
          <t>P-101</t>
        </is>
      </c>
      <c r="E90" s="8" t="inlineStr"/>
    </row>
    <row r="91">
      <c r="A91" s="4" t="inlineStr">
        <is>
          <t>Plumbing and water</t>
        </is>
      </c>
      <c r="B91" s="4" t="inlineStr">
        <is>
          <t>Sump lid at ground level: surface water and insects get in.</t>
        </is>
      </c>
      <c r="C91" s="4" t="inlineStr">
        <is>
          <t>Raise the sump cover 6 in above the paving with a locked, sealed lid, and keep it 20 ft+ from the septic.</t>
        </is>
      </c>
      <c r="D91" s="4" t="inlineStr">
        <is>
          <t>A-101</t>
        </is>
      </c>
      <c r="E91" s="8" t="inlineStr"/>
    </row>
    <row r="92">
      <c r="A92" s="4" t="inlineStr">
        <is>
          <t>Outside: yard, gate and garden</t>
        </is>
      </c>
      <c r="B92" s="4" t="inlineStr">
        <is>
          <t>Gate swinging out onto the road, or too narrow for two-wheelers.</t>
        </is>
      </c>
      <c r="C92" s="4" t="inlineStr">
        <is>
          <t>Use a 7 ft gate swinging inward or sliding, with the meter and bell in the pillar.</t>
        </is>
      </c>
      <c r="D92" s="4" t="inlineStr">
        <is>
          <t>A-101</t>
        </is>
      </c>
      <c r="E92" s="8" t="inlineStr"/>
    </row>
    <row r="93">
      <c r="A93" s="4" t="inlineStr">
        <is>
          <t>Outside: yard, gate and garden</t>
        </is>
      </c>
      <c r="B93" s="4" t="inlineStr">
        <is>
          <t>Two-wheeler bay with no slope: puddles.</t>
        </is>
      </c>
      <c r="C93" s="4" t="inlineStr">
        <is>
          <t>Pave it sloping 1:50 toward the road drain.</t>
        </is>
      </c>
      <c r="D93" s="4" t="inlineStr">
        <is>
          <t>A-101</t>
        </is>
      </c>
      <c r="E93" s="8" t="inlineStr"/>
    </row>
    <row r="94">
      <c r="A94" s="4" t="inlineStr">
        <is>
          <t>Outside: yard, gate and garden</t>
        </is>
      </c>
      <c r="B94" s="4" t="inlineStr">
        <is>
          <t>No outdoor drying space.</t>
        </is>
      </c>
      <c r="C94" s="4" t="inlineStr">
        <is>
          <t>A fold-away clothesline in the south walkway behind the master, and more room in the spare rear land; the covered terrace also dries clothes in the monsoon.</t>
        </is>
      </c>
      <c r="D94" s="4" t="inlineStr">
        <is>
          <t>A-104</t>
        </is>
      </c>
      <c r="E94"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 where the front gable meets the two-storey wall</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Option</t>
        </is>
      </c>
      <c r="C2" s="4" t="inlineStr">
        <is>
          <t>Duplex trial on the front 61 ft of the plot (house 50 ft), back 14 ft spare: decide between this and the single-storey 62 ft plan (main branch) before structural design</t>
        </is>
      </c>
      <c r="D2" s="4" t="inlineStr">
        <is>
          <t>Owner</t>
        </is>
      </c>
      <c r="E2" s="8" t="inlineStr">
        <is>
          <t>Open</t>
        </is>
      </c>
    </row>
    <row r="3">
      <c r="A3" s="4" t="n">
        <v>2</v>
      </c>
      <c r="B3" s="4" t="inlineStr">
        <is>
          <t>Finishes</t>
        </is>
      </c>
      <c r="C3" s="4" t="inlineStr">
        <is>
          <t>Colour and material scheme to choose: five looks to compare in the 3D model (As drawn, Classic Kerala refined, Chettinad ochre, Modern tropical, Lime and green); decide before ordering floor tiles, paint and door finishes</t>
        </is>
      </c>
      <c r="D3" s="4" t="inlineStr">
        <is>
          <t>Owner</t>
        </is>
      </c>
      <c r="E3" s="8" t="inlineStr">
        <is>
          <t>Open</t>
        </is>
      </c>
    </row>
    <row r="4">
      <c r="A4" s="4" t="n">
        <v>3</v>
      </c>
      <c r="B4" s="4" t="inlineStr">
        <is>
          <t>Land</t>
        </is>
      </c>
      <c r="C4" s="4" t="inlineStr">
        <is>
          <t>Front yard 8 ft: confirm the front setback allowed for this plot and road width before finalising; a two-storey house may need larger setbacks than a single storey</t>
        </is>
      </c>
      <c r="D4" s="4" t="inlineStr">
        <is>
          <t>Architect</t>
        </is>
      </c>
      <c r="E4" s="8" t="inlineStr">
        <is>
          <t>Open</t>
        </is>
      </c>
    </row>
    <row r="5">
      <c r="A5" s="4" t="n">
        <v>4</v>
      </c>
      <c r="B5" s="4" t="inlineStr">
        <is>
          <t>Structure</t>
        </is>
      </c>
      <c r="C5" s="4" t="inlineStr">
        <is>
          <t>Two-storey RCC frame: columns, footings and the first-floor slab sized for two floors; the stair well; RCC column stubs at the terrace edge for the steel posts that carry the roof over the terrace</t>
        </is>
      </c>
      <c r="D5" s="4" t="inlineStr">
        <is>
          <t>Structural engineer</t>
        </is>
      </c>
      <c r="E5" s="8" t="inlineStr">
        <is>
          <t>Open</t>
        </is>
      </c>
    </row>
    <row r="6">
      <c r="A6" s="4" t="n">
        <v>5</v>
      </c>
      <c r="B6" s="4" t="inlineStr">
        <is>
          <t>Layout</t>
        </is>
      </c>
      <c r="C6" s="4" t="inlineStr">
        <is>
          <t>TV on the stair wall of the living (west), sofa facing west about 6'-6" away: confirm screen size (50 in) and a concealed HDMI/data conduit</t>
        </is>
      </c>
      <c r="D6" s="4" t="inlineStr">
        <is>
          <t>Owner</t>
        </is>
      </c>
      <c r="E6" s="8" t="inlineStr">
        <is>
          <t>Open</t>
        </is>
      </c>
    </row>
    <row r="7">
      <c r="A7" s="4" t="n">
        <v>6</v>
      </c>
      <c r="B7" s="4" t="inlineStr">
        <is>
          <t>Land</t>
        </is>
      </c>
      <c r="C7" s="4" t="inlineStr">
        <is>
          <t>Agricultural land: confirm conversion to non-agricultural use with the gram panchayat / collector (AP repealed the NALA Act in 2025; new process to be confirmed)</t>
        </is>
      </c>
      <c r="D7" s="4" t="inlineStr">
        <is>
          <t>Owner / surveyor</t>
        </is>
      </c>
      <c r="E7" s="8" t="inlineStr">
        <is>
          <t>Open</t>
        </is>
      </c>
    </row>
    <row r="8">
      <c r="A8" s="4" t="n">
        <v>7</v>
      </c>
      <c r="B8" s="4" t="inlineStr">
        <is>
          <t>Land</t>
        </is>
      </c>
      <c r="C8" s="4" t="inlineStr">
        <is>
          <t>Building permission route (panchayat vs DTCP / APCRDA via APDPMS) and setbacks under AP Building Rules 2017, including any height rule for two storeys</t>
        </is>
      </c>
      <c r="D8" s="4" t="inlineStr">
        <is>
          <t>Architect</t>
        </is>
      </c>
      <c r="E8" s="8" t="inlineStr">
        <is>
          <t>Open</t>
        </is>
      </c>
    </row>
    <row r="9">
      <c r="A9" s="4" t="n">
        <v>8</v>
      </c>
      <c r="B9" s="4" t="inlineStr">
        <is>
          <t>Soil</t>
        </is>
      </c>
      <c r="C9" s="4" t="inlineStr">
        <is>
          <t>Soil test (bore holes to 3 m min): black cotton soil is common in Guntur. Foundation type (isolated footings below active zone, under-reamed piles, or soil replacement) depends on it; two storeys raise the column loads</t>
        </is>
      </c>
      <c r="D9" s="4" t="inlineStr">
        <is>
          <t>Structural engineer</t>
        </is>
      </c>
      <c r="E9" s="8" t="inlineStr">
        <is>
          <t>Open</t>
        </is>
      </c>
    </row>
    <row r="10">
      <c r="A10" s="4" t="n">
        <v>9</v>
      </c>
      <c r="B10" s="4" t="inlineStr">
        <is>
          <t>Services</t>
        </is>
      </c>
      <c r="C10" s="4" t="inlineStr">
        <is>
          <t>Groundwater: test TDS, hardness, fluoride. Plan RO for drinking and a softener for bathrooms if hardness is high</t>
        </is>
      </c>
      <c r="D10" s="4" t="inlineStr">
        <is>
          <t>Plumber / owner</t>
        </is>
      </c>
      <c r="E10" s="8" t="inlineStr">
        <is>
          <t>Open</t>
        </is>
      </c>
    </row>
    <row r="11">
      <c r="A11" s="4" t="n">
        <v>10</v>
      </c>
      <c r="B11" s="4" t="inlineStr">
        <is>
          <t>Services</t>
        </is>
      </c>
      <c r="C11" s="4" t="inlineStr">
        <is>
          <t>Septic tank and soak pit in the spare rear land (percolation test for the soak pit size); if the back 14 ft is ever sold, move them or switch to a bio-digester with treated outflow</t>
        </is>
      </c>
      <c r="D11" s="4" t="inlineStr">
        <is>
          <t>Engineer</t>
        </is>
      </c>
      <c r="E11" s="8" t="inlineStr">
        <is>
          <t>Open</t>
        </is>
      </c>
    </row>
    <row r="12">
      <c r="A12" s="4" t="n">
        <v>11</v>
      </c>
      <c r="B12" s="4" t="inlineStr">
        <is>
          <t>Services</t>
        </is>
      </c>
      <c r="C12" s="4" t="inlineStr">
        <is>
          <t>Water tank: 1,000 L loft tank in the roof space over the upper bath, filled from the sump by pump, with a pressure pump for showers; confirm the truss carries it or put it on a steel platform off the slab</t>
        </is>
      </c>
      <c r="D12" s="4" t="inlineStr">
        <is>
          <t>Plumber / 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Vastu</t>
        </is>
      </c>
      <c r="C14" s="4" t="inlineStr">
        <is>
          <t>Master bedroom in the south-west with the bed head south; second master above it; kitchen in the south-east, stove on the east wall; pooja in the living's south-east corner back to back with the kitchen, opening west; stair in the north-west quarter rising clockwise; baths in the south band; living and main door on the east; the centre of the plot (Brahmasthan) falls in the living, kept free of walls and columns</t>
        </is>
      </c>
      <c r="D14" s="4" t="inlineStr">
        <is>
          <t>Vastu consultant</t>
        </is>
      </c>
      <c r="E14" s="8" t="inlineStr">
        <is>
          <t>To confirm</t>
        </is>
      </c>
    </row>
    <row r="15">
      <c r="A15" s="4" t="n">
        <v>14</v>
      </c>
      <c r="B15" s="4" t="inlineStr">
        <is>
          <t>Climate</t>
        </is>
      </c>
      <c r="C15" s="4" t="inlineStr">
        <is>
          <t>Covered terrace: deep shade from the main roof keeps the slab over the living cool; the upper master's west wall has only a small high vent; chiks on the terrace's south and east sides</t>
        </is>
      </c>
      <c r="D15" s="4" t="inlineStr">
        <is>
          <t>Architect</t>
        </is>
      </c>
      <c r="E15" s="8" t="inlineStr">
        <is>
          <t>Open</t>
        </is>
      </c>
    </row>
    <row r="16">
      <c r="A16" s="4" t="n">
        <v>15</v>
      </c>
      <c r="B16" s="4" t="inlineStr">
        <is>
          <t>Roof</t>
        </is>
      </c>
      <c r="C16" s="4" t="inlineStr">
        <is>
          <t>Covered terrace roof: tiles on steel trusses (drawn, matches the rest of the roof) or a cheaper insulated metal-sheet roof on the same steel frame; decide before the roof is ordered</t>
        </is>
      </c>
      <c r="D16" s="4" t="inlineStr">
        <is>
          <t>Owner / architect</t>
        </is>
      </c>
      <c r="E16" s="8" t="inlineStr">
        <is>
          <t>Open</t>
        </is>
      </c>
    </row>
    <row r="17">
      <c r="A17" s="4" t="n">
        <v>16</v>
      </c>
      <c r="B17" s="4" t="inlineStr">
        <is>
          <t>Levels</t>
        </is>
      </c>
      <c r="C17" s="4" t="inlineStr">
        <is>
          <t>Survey road and field levels; plinth at 2 ft above finished ground (raise if site floods)</t>
        </is>
      </c>
      <c r="D17" s="4" t="inlineStr">
        <is>
          <t>Surveyor / architect</t>
        </is>
      </c>
      <c r="E17"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Duplex option (branch feature/duplex): the house is planned on the front 61 ft of the plot (the back 14 ft stays spare land) as a 50 ft x 22 ft two-level house, 1,100 sq ft on the ground floor and about 505 sq ft enclosed on the first floor plus a 17 x 22 ft covered terrace.</t>
        </is>
      </c>
    </row>
    <row r="3">
      <c r="A3" s="4" t="n">
        <v>2</v>
      </c>
      <c r="B3" s="4" t="inlineStr">
        <is>
          <t>House lengthened from 44 to 50 ft (after review: rooms felt small): 2 ft to the bedrooms (both now 14 ft wide), 3 ft to the bath strip (master, common and upper baths about 6 x 6'-5" clear, dressing 6 ft wide, passage to the small bedroom 5'-6"), 1 ft to the dining, living and wet area. Front yard unchanged at 8 ft; the trial plot grows from 55 to 61 ft.No double height (changed after review): a slab covers the whole two-storey block, so the living, dining, kitchen, pooja, store and wet area all have flat ceilings at about 9'-5" and no dead space above the kitchen. Over the front half the first floor is a covered terrace, opening off the landing, with railings on three sides.</t>
        </is>
      </c>
    </row>
    <row r="4">
      <c r="A4" s="4" t="n">
        <v>3</v>
      </c>
      <c r="B4" s="4" t="inlineStr">
        <is>
          <t>Ground floor: master bedroom with its bath (south-west), small bedroom, common bath, lobby and a dog-leg stair seen from the living through a timber jali. First floor: upper master with a dressing room and bath, a landing, a passage and the covered terrace; the upper master has a sitting and study zone on the north side (the outdoor lounge was merged into it once the terrace was added).</t>
        </is>
      </c>
    </row>
    <row r="5">
      <c r="A5" s="4" t="n">
        <v>4</v>
      </c>
      <c r="B5" s="4" t="inlineStr">
        <is>
          <t>Roof: one hipped clay-tile roof over the two-storey block, carried on walls over the back rooms and on a light galvanised steel frame (posts and trusses) over the terrace, and a wide front gable (mukhappu) over the single-storey poomukham and kitchen front, so the house reads as a two-tier Kerala roof.</t>
        </is>
      </c>
    </row>
    <row r="6">
      <c r="A6" s="4" t="n">
        <v>5</v>
      </c>
      <c r="B6" s="4" t="inlineStr">
        <is>
          <t>No ridge ventilator (removed after review): with the terrace open on three sides, hot air under the main roof escapes at its open edges; the attic over the first-floor rooms is vented by meshed ridge and soffit vents.</t>
        </is>
      </c>
    </row>
    <row r="7">
      <c r="A7" s="4" t="n">
        <v>6</v>
      </c>
      <c r="B7" s="4" t="inlineStr">
        <is>
          <t>All four bath fittings stack in the south band (two baths over two); the septic tank and soak pit move to the spare rear land behind the baths, freeing the front yard; the water tank goes into the roof space (no tank stand).</t>
        </is>
      </c>
    </row>
    <row r="8">
      <c r="A8" s="4" t="n">
        <v>7</v>
      </c>
      <c r="B8" s="4" t="inlineStr">
        <is>
          <t>Site is in Guntur, Andhra Pradesh (farm land), not Kerala; Kerala style kept, construction adapted to local climate and soil.</t>
        </is>
      </c>
    </row>
    <row r="9">
      <c r="A9" s="4" t="n">
        <v>8</v>
      </c>
      <c r="B9" s="4" t="inlineStr">
        <is>
          <t>RCC frame with AAC block walls: 9 in outer, 5 in inner, 7 in where plumbing is concealed.</t>
        </is>
      </c>
    </row>
    <row r="10">
      <c r="A10" s="4" t="n">
        <v>9</v>
      </c>
      <c r="B10" s="4" t="inlineStr">
        <is>
          <t>Plinth 2 ft above finished ground; poomukham 6 in lower; bathrooms 12 mm lower with no raised threshold.</t>
        </is>
      </c>
    </row>
    <row r="11">
      <c r="A11" s="4" t="n">
        <v>10</v>
      </c>
      <c r="B11" s="4" t="inlineStr">
        <is>
          <t>AC provisions (points, sleeves, drain, outdoor-unit brackets) in both bedrooms, the office and living; passive cooling first.</t>
        </is>
      </c>
    </row>
    <row r="12">
      <c r="A12" s="4" t="n">
        <v>11</v>
      </c>
      <c r="B12" s="4" t="inlineStr">
        <is>
          <t>Flat insulated false ceilings in bedrooms, offices, baths and kitchen; sloped ceilings in living, dining and verandah.</t>
        </is>
      </c>
    </row>
    <row r="13">
      <c r="A13" s="4" t="n">
        <v>12</v>
      </c>
      <c r="B13" s="4" t="inlineStr">
        <is>
          <t>No glass skylight: the dining gets borrowed daylight from the living, the nook window and the hall; a louvred ventilator lantern above it lets hot air out (no glass, so no greenhouse heat).</t>
        </is>
      </c>
    </row>
    <row r="14">
      <c r="A14" s="4" t="n">
        <v>13</v>
      </c>
      <c r="B14" s="4" t="inlineStr">
        <is>
          <t>Service band on south (heat buffer); bedrooms and living get north light.</t>
        </is>
      </c>
    </row>
    <row r="15">
      <c r="A15" s="4" t="n">
        <v>14</v>
      </c>
      <c r="B15" s="4" t="inlineStr">
        <is>
          <t>Kitchen in SE; stove on east wall; open wet area onto the walkway; provisions in bench drawers, kitchen cabinets and lofts (no separate store).</t>
        </is>
      </c>
    </row>
    <row r="16">
      <c r="A16" s="4" t="n">
        <v>15</v>
      </c>
      <c r="B16" s="4" t="inlineStr">
        <is>
          <t>Bedroom doors widened to 3 ft; bathroom, office and store doors 2 ft 6 in.</t>
        </is>
      </c>
    </row>
    <row r="17">
      <c r="A17" s="4" t="n">
        <v>16</v>
      </c>
      <c r="B17" s="4" t="inlineStr">
        <is>
          <t>Thirty-second review: TV back on the west wall of the hall (Bedroom 2's east wall), sofa facing west about 7'-6" away in the dining bay, coffee table between, the window seat shortened to 4 ft as side seating; the dining space under the ventilator is open again.</t>
        </is>
      </c>
    </row>
    <row r="18">
      <c r="A18" s="4" t="n">
        <v>17</v>
      </c>
      <c r="B18" s="4" t="inlineStr">
        <is>
          <t>Thirty-first review (front facade): gate re-centred on the main door with a 6 ft stone forecourt and the tulsi thara on the axis (gate, tulsi, steps, door, hall, lamp niche in one line); charupadi seats with sloping backrests between the verandah pillars, flanking the steps; carved teak barge boards and a brass kalasham finial on the front gable; the kitchen front clad in exposed laterite with a deep projecting teak frame to its window; carved teak main door with brass studs, a stone surround and a nameplate niche; warm uplights at the pillars, a lantern by the door and gate-post lights; low hedges screening the sump and the two-wheeler bay; a pair of potted palms beside the steps.</t>
        </is>
      </c>
    </row>
    <row r="19">
      <c r="A19" s="4" t="n">
        <v>18</v>
      </c>
      <c r="B19" s="4" t="inlineStr">
        <is>
          <t>Thirtieth review (proportion clean-up): windows standardised to three sizes (6 ft rooms, 3 ft small, 2 ft baths) with every head at 7 ft and three sill levels (3 ft rooms, 3'-6" over counters, 5 ft baths); sunshades only on the sunny south, east and west walls (the eaves shade the north); floors cut to three families plus the verandah (red oxide in all public rooms and the pooja, vitrified in bedrooms, anti-skid ceramic in kitchen, baths and wet area, granite on the verandah); services hidden (pipes in chases, outdoor units grouped behind jali on the north wall), switchboards aligned, warm layered lighting, handle-less built-in fronts.</t>
        </is>
      </c>
    </row>
    <row r="20">
      <c r="A20" s="4" t="n">
        <v>19</v>
      </c>
      <c r="B20" s="4" t="inlineStr">
        <is>
          <t>Twenty-ninth review: compound wall made as thin as practical: precast RCC post-and-panel (2 in panels in 4 in posts) set just inside the plot line, so the side strips stay walkable and the north run can be lifted and moved if more land is bought.</t>
        </is>
      </c>
    </row>
    <row r="21">
      <c r="A21" s="4" t="n">
        <v>20</v>
      </c>
      <c r="B21" s="4" t="inlineStr">
        <is>
          <t>Twenty-eighth review: TV lounge reworked: sofa brought forward to about 8 ft from the TV, a 3 ft walk behind it, and a built-in window seat (charupadi-style enclave) under the dining-bay window, so the sofa backs onto a quiet seating nook rather than the entrance and nobody walks in front of the TV.</t>
        </is>
      </c>
    </row>
    <row r="22">
      <c r="A22" s="4" t="n">
        <v>21</v>
      </c>
      <c r="B22" s="4" t="inlineStr">
        <is>
          <t>Twenty-seventh review: TV lounge moves to the open dining space under the ventilator: TV on the north face of the common-bath wall, sofa facing south with its back to the north window, so the main door is in side view, not behind (commanding position) and the TV no longer faces the main door; the dining bay becomes a reading / dining nook with a chair by the window.</t>
        </is>
      </c>
    </row>
    <row r="23">
      <c r="A23" s="4" t="n">
        <v>22</v>
      </c>
      <c r="B23"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24">
      <c r="A24" s="4" t="n">
        <v>23</v>
      </c>
      <c r="B24"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25">
      <c r="A25" s="4" t="n">
        <v>24</v>
      </c>
      <c r="B25"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26">
      <c r="A26" s="4" t="n">
        <v>25</v>
      </c>
      <c r="B26" s="4" t="inlineStr">
        <is>
          <t>Twenty-third review: the fridge moves out of the kitchen into the dining alcove beside the kitchen door, against the wet-area wall; the kitchen's north wall is now free.</t>
        </is>
      </c>
    </row>
    <row r="27">
      <c r="A27" s="4" t="n">
        <v>26</v>
      </c>
      <c r="B27" s="4" t="inlineStr">
        <is>
          <t>Twenty-second review: the kitchen's tall pantry and the dining table and chairs are removed at the owner's request; the dining space under the ventilator stays open (the pendant light and points stay for a table later).</t>
        </is>
      </c>
    </row>
    <row r="28">
      <c r="A28" s="4" t="n">
        <v>27</v>
      </c>
      <c r="B28"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9">
      <c r="A29" s="4" t="n">
        <v>28</v>
      </c>
      <c r="B29"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30">
      <c r="A30" s="4" t="n">
        <v>29</v>
      </c>
      <c r="B30"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31">
      <c r="A31" s="4" t="n">
        <v>30</v>
      </c>
      <c r="B31" s="4" t="inlineStr">
        <is>
          <t>Eighteenth review: house lengthened 2 ft to 62 ft, all of it added to Bedroom 2 (now 17 ft wide; the sitting area below it also gains 2 ft); front yard 10 ft to 8 ft (check the front setback). Bedroom 2 window back to 6 ft.</t>
        </is>
      </c>
    </row>
    <row r="32">
      <c r="A32" s="4" t="n">
        <v>31</v>
      </c>
      <c r="B32" s="4" t="inlineStr">
        <is>
          <t>Seventeenth review: sitting area gets a 5 ft tall storage cupboard on the south wall between the bench and the window; the hand-wash basin moves to the east end of the serving counter, just outside the common bath, for washing up after meals.</t>
        </is>
      </c>
    </row>
    <row r="33">
      <c r="A33" s="4" t="n">
        <v>32</v>
      </c>
      <c r="B33"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34">
      <c r="A34" s="4" t="n">
        <v>33</v>
      </c>
      <c r="B34"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35">
      <c r="A35" s="4" t="n">
        <v>34</v>
      </c>
      <c r="B35"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36">
      <c r="A36" s="4" t="n">
        <v>35</v>
      </c>
      <c r="B36" s="4" t="inlineStr">
        <is>
          <t>Common bath widened to 6'-6" x 6' (about 6'-0" x 5'-5" clear: 3 x 3 ft shower, WC and basin on the wet wall) by taking 1'-6" from the east end of the sitting area; serving counter now 6 ft.</t>
        </is>
      </c>
    </row>
    <row r="37">
      <c r="A37" s="4" t="n">
        <v>36</v>
      </c>
      <c r="B37"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38">
      <c r="A38" s="4" t="n">
        <v>37</v>
      </c>
      <c r="B38"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9">
      <c r="A39" s="4" t="n">
        <v>38</v>
      </c>
      <c r="B39"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40">
      <c r="A40" s="4" t="n">
        <v>39</v>
      </c>
      <c r="B40"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41">
      <c r="A41" s="4" t="n">
        <v>40</v>
      </c>
      <c r="B41"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42">
      <c r="A42" s="4" t="n">
        <v>41</v>
      </c>
      <c r="B42" s="4" t="inlineStr">
        <is>
          <t>Seventh review: Bedroom 2 enlarged to 12 x 16 ft by taking the hall strip; its door opens from the sitting area (as the master suite does); hand-wash basin back at the west end of the serving counter.</t>
        </is>
      </c>
    </row>
    <row r="43">
      <c r="A43" s="4" t="n">
        <v>42</v>
      </c>
      <c r="B43" s="4" t="inlineStr">
        <is>
          <t>Sixth review: Office 2 walls and sliding door left out for now (open workstation in the master suite, walls can be added later); Bedroom 2 becomes a study-guest room: work table with monitor beside the bath, sofa-cum-bed instead of a queen bed.</t>
        </is>
      </c>
    </row>
    <row r="44">
      <c r="A44" s="4" t="n">
        <v>43</v>
      </c>
      <c r="B44" s="4" t="inlineStr">
        <is>
          <t>Office 1 removed after family review: one office (Office 2) inside the master suite; Bedroom 2 has its own work desk.</t>
        </is>
      </c>
    </row>
    <row r="45">
      <c r="A45" s="4" t="n">
        <v>44</v>
      </c>
      <c r="B45" s="4" t="inlineStr">
        <is>
          <t>Common bathroom moved to the north side (old pooja spot), entered from the dining corner next to the hall.</t>
        </is>
      </c>
    </row>
    <row r="46">
      <c r="A46" s="4" t="n">
        <v>45</v>
      </c>
      <c r="B46"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47">
      <c r="A47" s="4" t="n">
        <v>46</v>
      </c>
      <c r="B47" s="4" t="inlineStr">
        <is>
          <t>Pooja moved beside the wet area and opened to the west (idols face west, the family sits in the nook facing east); shared wall kept dry with no pipes, pooja floor 3 in higher; basin nook shifted west.</t>
        </is>
      </c>
    </row>
    <row r="48">
      <c r="A48" s="4" t="n">
        <v>47</v>
      </c>
      <c r="B48"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9">
      <c r="A49" s="4" t="n">
        <v>48</v>
      </c>
      <c r="B49"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50">
      <c r="A50" s="4" t="n">
        <v>49</v>
      </c>
      <c r="B50" s="4" t="inlineStr">
        <is>
          <t>Earlier: walk-in wardrobe turned into a family store with a lockable door from the sitting area (inverter inside); built-in sliding wardrobes in the dressing alcove and on the master bedroom's south wall.</t>
        </is>
      </c>
    </row>
    <row r="51">
      <c r="A51" s="4" t="n">
        <v>50</v>
      </c>
      <c r="B51" s="4" t="inlineStr">
        <is>
          <t>Store wall removed: the strip from the walk-in to the pooja is one open sitting and serving area with a storage bench; hand-wash basin set into the west end of the serving counter, about 8 ft from the pooja, draining straight out to the south walkway.</t>
        </is>
      </c>
    </row>
    <row r="52">
      <c r="A52" s="4" t="n">
        <v>51</v>
      </c>
      <c r="B52" s="4" t="inlineStr">
        <is>
          <t>Wet area reduced to 6 x 6 ft and left open on its south side to the walkway (service route from the kitchen to the back of the house); kitchen door moved to face the dining (3 ft sliding glass); basin nook widened to 8 ft with a 6 ft serving counter.</t>
        </is>
      </c>
    </row>
    <row r="53">
      <c r="A53" s="4" t="n">
        <v>52</v>
      </c>
      <c r="B53" s="4" t="inlineStr">
        <is>
          <t>Main door moved to the south part of the living's east wall (still north of the house's centre line); TV on the north part of that wall; steps, swing and arugu seats rearranged on the poomukham.</t>
        </is>
      </c>
    </row>
    <row r="54">
      <c r="A54" s="4" t="n">
        <v>53</v>
      </c>
      <c r="B54"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55">
      <c r="A55" s="4" t="n">
        <v>54</v>
      </c>
      <c r="B55" s="4" t="inlineStr">
        <is>
          <t>Earlier: hall widened to 4 ft clear (Bedroom 2 gives up 6 in); vents above the office, walk-in, store, pooja and kitchen doors; none at bedrooms or bathrooms (sound privacy).</t>
        </is>
      </c>
    </row>
    <row r="56">
      <c r="A56" s="4" t="n">
        <v>55</v>
      </c>
      <c r="B56" s="4" t="inlineStr">
        <is>
          <t>Ensuite widened by 1'-6" into the master (about 6'-0" x 7'-4" clear); dressing widened by the same strip; master now 9'-6" x 14'-0".</t>
        </is>
      </c>
    </row>
    <row r="57">
      <c r="A57" s="4" t="n">
        <v>56</v>
      </c>
      <c r="B57"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2026-11-01T18:44:44Z</dcterms:created>
  <dcterms:modified xsi:type="dcterms:W3CDTF">2026-11-01T18:44:44Z</dcterms:modified>
</cp:coreProperties>
</file>