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_Me" sheetId="1" state="visible" r:id="rId1"/>
    <sheet name="Rooms" sheetId="2" state="visible" r:id="rId2"/>
    <sheet name="Doors" sheetId="3" state="visible" r:id="rId3"/>
    <sheet name="Windows" sheetId="4" state="visible" r:id="rId4"/>
    <sheet name="Furniture" sheetId="5" state="visible" r:id="rId5"/>
    <sheet name="Finishes" sheetId="6" state="visible" r:id="rId6"/>
    <sheet name="Specification" sheetId="7" state="visible" r:id="rId7"/>
    <sheet name="Quantities" sheetId="8" state="visible" r:id="rId8"/>
    <sheet name="Electrical" sheetId="9" state="visible" r:id="rId9"/>
    <sheet name="Plumbing" sheetId="10" state="visible" r:id="rId10"/>
    <sheet name="Checklist" sheetId="11" state="visible" r:id="rId11"/>
    <sheet name="Hold_Points" sheetId="12" state="visible" r:id="rId12"/>
    <sheet name="Open_Issues" sheetId="13" state="visible" r:id="rId13"/>
    <sheet name="Decisions" sheetId="14" state="visible" r:id="rId14"/>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5">
    <font>
      <name val="Calibri"/>
      <family val="2"/>
      <color theme="1"/>
      <sz val="11"/>
      <scheme val="minor"/>
    </font>
    <font>
      <name val="Arial"/>
      <b val="1"/>
      <sz val="13"/>
    </font>
    <font>
      <name val="Arial"/>
      <sz val="10"/>
    </font>
    <font>
      <name val="Arial"/>
      <b val="1"/>
      <color rgb="00FFFFFF"/>
    </font>
    <font>
      <name val="Arial"/>
      <b val="1"/>
    </font>
  </fonts>
  <fills count="5">
    <fill>
      <patternFill/>
    </fill>
    <fill>
      <patternFill patternType="gray125"/>
    </fill>
    <fill>
      <patternFill patternType="solid">
        <fgColor rgb="002F6B4F"/>
      </patternFill>
    </fill>
    <fill>
      <patternFill patternType="solid">
        <fgColor rgb="00E8EFEA"/>
      </patternFill>
    </fill>
    <fill>
      <patternFill patternType="solid">
        <fgColor rgb="00FFFF00"/>
      </patternFill>
    </fill>
  </fills>
  <borders count="2">
    <border>
      <left/>
      <right/>
      <top/>
      <bottom/>
      <diagonal/>
    </border>
    <border>
      <bottom style="thin">
        <color rgb="00C8C8C8"/>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2" fillId="0" borderId="1" applyAlignment="1" pivotButton="0" quotePrefix="0" xfId="0">
      <alignment vertical="top" wrapText="1"/>
    </xf>
    <xf numFmtId="164" fontId="2" fillId="0" borderId="1" applyAlignment="1" pivotButton="0" quotePrefix="0" xfId="0">
      <alignment vertical="top" wrapText="1"/>
    </xf>
    <xf numFmtId="0" fontId="4" fillId="3" borderId="1" applyAlignment="1" pivotButton="0" quotePrefix="0" xfId="0">
      <alignment vertical="top" wrapText="1"/>
    </xf>
    <xf numFmtId="164" fontId="4" fillId="3" borderId="1" applyAlignment="1" pivotButton="0" quotePrefix="0" xfId="0">
      <alignment vertical="top" wrapText="1"/>
    </xf>
    <xf numFmtId="0" fontId="2" fillId="4" borderId="1" applyAlignment="1" pivotButton="0" quotePrefix="0" xfId="0">
      <alignment vertical="top" wrapText="1"/>
    </xf>
    <xf numFmtId="165" fontId="2" fillId="0" borderId="1" applyAlignment="1" pivotButton="0" quotePrefix="0" xfId="0">
      <alignment vertical="top" wrapText="1"/>
    </xf>
    <xf numFmtId="166" fontId="2" fillId="4" borderId="1" applyAlignment="1" pivotButton="0" quotePrefix="0" xfId="0">
      <alignment vertical="top" wrapText="1"/>
    </xf>
    <xf numFmtId="166" fontId="2" fillId="0" borderId="1" applyAlignment="1" pivotButton="0" quotePrefix="0" xfId="0">
      <alignment vertical="top" wrapText="1"/>
    </xf>
    <xf numFmtId="166"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Claude</author>
  </authors>
  <commentList>
    <comment ref="G1" authorId="0" shapeId="0">
      <text>
        <t>1 sq ft = 0.092903 sq m</t>
      </text>
    </comment>
  </commentList>
</comments>
</file>

<file path=xl/comments/comment2.xml><?xml version="1.0" encoding="utf-8"?>
<comments xmlns="http://schemas.openxmlformats.org/spreadsheetml/2006/main">
  <authors>
    <author>Claude</author>
  </authors>
  <commentList>
    <comment ref="I1" authorId="0" shapeId="0">
      <text>
        <t>Your estimate per unit, in rupees. Leave blank until you have a quote.</t>
      </text>
    </comment>
  </commentList>
</comments>
</file>

<file path=xl/comments/comment3.xml><?xml version="1.0" encoding="utf-8"?>
<comments xmlns="http://schemas.openxmlformats.org/spreadsheetml/2006/main">
  <authors>
    <author>Claude</author>
  </authors>
  <commentList>
    <comment ref="F1" authorId="0" shapeId="0">
      <text>
        <t>Fill from local contractor or supplier quotes. Quantities are approximate take-offs from the model.</t>
      </text>
    </comment>
  </commentList>
</comments>
</file>

<file path=xl/comments/comment4.xml><?xml version="1.0" encoding="utf-8"?>
<comments xmlns="http://schemas.openxmlformats.org/spreadsheetml/2006/main">
  <authors>
    <author>Claude</author>
  </authors>
  <commentList>
    <comment ref="E1" authorId="0" shapeId="0">
      <text>
        <t>Mark Agreed / Changed / Not needed after reviewing with your architect.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Kerala Home, Phase 1: schedules</t>
        </is>
      </c>
    </row>
    <row r="2">
      <c r="A2" s="2" t="inlineStr">
        <is>
          <t>Site: Guntur, Andhra Pradesh (agricultural land: conversion to be confirmed). Stage: Draft for professional review. Revision B (pre-construction draft), 30 Oct 2026.</t>
        </is>
      </c>
    </row>
    <row r="3">
      <c r="A3" s="2" t="inlineStr">
        <is>
          <t>Dimensions in feet. Centreline sizes match the plan grid; clear sizes are wall face to wall face after plaster.</t>
        </is>
      </c>
    </row>
    <row r="4">
      <c r="A4" s="2" t="inlineStr"/>
    </row>
    <row r="5">
      <c r="A5" s="1" t="inlineStr">
        <is>
          <t>How to use</t>
        </is>
      </c>
    </row>
    <row r="6">
      <c r="A6" s="2" t="inlineStr">
        <is>
          <t>Yellow cells are for you to fill in (budget estimates, chosen products, status). Everything else is calculated or drawn from the plan.</t>
        </is>
      </c>
    </row>
    <row r="7">
      <c r="A7" s="2" t="inlineStr">
        <is>
          <t>Example: in Furniture, type 18000 in 'Est. unit cost (Rs)' for an item costing Rs 18,000; the line total and grand total update automatically.</t>
        </is>
      </c>
    </row>
    <row r="8">
      <c r="A8" s="2" t="inlineStr">
        <is>
          <t>Areas, heights and totals are formulas, so editing a room's size updates its area.</t>
        </is>
      </c>
    </row>
    <row r="9">
      <c r="A9" s="2" t="inlineStr"/>
    </row>
    <row r="10">
      <c r="A10" s="1" t="inlineStr">
        <is>
          <t>Tabs</t>
        </is>
      </c>
    </row>
    <row r="11">
      <c r="A11" s="2" t="inlineStr">
        <is>
          <t>Rooms: room sizes and areas.  Doors / Windows: opening sizes and types.  Furniture: every furniture item, fixture and built-in, with budget columns.</t>
        </is>
      </c>
    </row>
    <row r="12">
      <c r="A12" s="2" t="inlineStr">
        <is>
          <t>Finishes: floor, wall and ceiling finishes.  Specification: materials and why (Guntur conditions).  Quantities: take-off for pricing, with rate cells.</t>
        </is>
      </c>
    </row>
    <row r="13">
      <c r="A13" s="2" t="inlineStr">
        <is>
          <t>Electrical / Plumbing: every point with room and height.  Checklist: room-by-room mistakes to avoid, with a status column.  Hold_Points: inspections before work is covered.</t>
        </is>
      </c>
    </row>
    <row r="14">
      <c r="A14" s="2" t="inlineStr">
        <is>
          <t>Open_Issues: items to resolve with professionals.  Decisions: what has been agreed so far.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14" customWidth="1" min="3" max="3"/>
    <col width="9" customWidth="1" min="4" max="4"/>
    <col width="9" customWidth="1" min="5" max="5"/>
    <col width="11" customWidth="1" min="6" max="6"/>
    <col width="11" customWidth="1" min="7" max="7"/>
    <col width="10" customWidth="1" min="8" max="8"/>
    <col width="10" customWidth="1" min="9" max="9"/>
    <col width="11" customWidth="1" min="10" max="10"/>
    <col width="11" customWidth="1" min="11" max="11"/>
    <col width="16" customWidth="1" min="12" max="12"/>
    <col width="34" customWidth="1" min="13" max="13"/>
  </cols>
  <sheetData>
    <row r="1" ht="30" customHeight="1">
      <c r="A1" s="3" t="inlineStr">
        <is>
          <t>ID</t>
        </is>
      </c>
      <c r="B1" s="3" t="inlineStr">
        <is>
          <t>Room</t>
        </is>
      </c>
      <c r="C1" s="3" t="inlineStr">
        <is>
          <t>Zone</t>
        </is>
      </c>
      <c r="D1" s="3" t="inlineStr">
        <is>
          <t>E-W (ft)</t>
        </is>
      </c>
      <c r="E1" s="3" t="inlineStr">
        <is>
          <t>N-S (ft)</t>
        </is>
      </c>
      <c r="F1" s="3" t="inlineStr">
        <is>
          <t>Area (sq ft)</t>
        </is>
      </c>
      <c r="G1" s="3" t="inlineStr">
        <is>
          <t>Area (sq m)</t>
        </is>
      </c>
      <c r="H1" s="3" t="inlineStr">
        <is>
          <t>Clear E-W (ft)</t>
        </is>
      </c>
      <c r="I1" s="3" t="inlineStr">
        <is>
          <t>Clear N-S (ft)</t>
        </is>
      </c>
      <c r="J1" s="3" t="inlineStr">
        <is>
          <t>Clear area (sq ft)</t>
        </is>
      </c>
      <c r="K1" s="3" t="inlineStr">
        <is>
          <t>Floor level</t>
        </is>
      </c>
      <c r="L1" s="3" t="inlineStr">
        <is>
          <t>Ceiling</t>
        </is>
      </c>
      <c r="M1" s="3" t="inlineStr">
        <is>
          <t>Notes</t>
        </is>
      </c>
    </row>
    <row r="2">
      <c r="A2" s="4" t="inlineStr">
        <is>
          <t>R01</t>
        </is>
      </c>
      <c r="B2" s="4" t="inlineStr">
        <is>
          <t>Workstation (open, walls optional later)</t>
        </is>
      </c>
      <c r="C2" s="4" t="inlineStr">
        <is>
          <t>Master suite</t>
        </is>
      </c>
      <c r="D2" s="4" t="n">
        <v>9</v>
      </c>
      <c r="E2" s="4" t="n">
        <v>8</v>
      </c>
      <c r="F2" s="5">
        <f>D2*E2</f>
        <v/>
      </c>
      <c r="G2" s="5">
        <f>F2*0.092903</f>
        <v/>
      </c>
      <c r="H2" s="5" t="n">
        <v>8.619999999999999</v>
      </c>
      <c r="I2" s="5" t="n">
        <v>7.62</v>
      </c>
      <c r="J2" s="5">
        <f>H2*I2</f>
        <v/>
      </c>
      <c r="K2" s="4" t="inlineStr">
        <is>
          <t>+2'-0"</t>
        </is>
      </c>
      <c r="L2" s="4" t="inlineStr">
        <is>
          <t>Flat 9'-6"</t>
        </is>
      </c>
      <c r="M2" s="4" t="inlineStr"/>
    </row>
    <row r="3">
      <c r="A3" s="4" t="inlineStr">
        <is>
          <t>R02</t>
        </is>
      </c>
      <c r="B3" s="4" t="inlineStr">
        <is>
          <t>Master bay (old store, open to the bedroom)</t>
        </is>
      </c>
      <c r="C3" s="4" t="inlineStr">
        <is>
          <t>Master suite</t>
        </is>
      </c>
      <c r="D3" s="4" t="n">
        <v>7</v>
      </c>
      <c r="E3" s="4" t="n">
        <v>8</v>
      </c>
      <c r="F3" s="5">
        <f>D3*E3</f>
        <v/>
      </c>
      <c r="G3" s="5">
        <f>F3*0.092903</f>
        <v/>
      </c>
      <c r="H3" s="5" t="n">
        <v>6.79</v>
      </c>
      <c r="I3" s="5" t="n">
        <v>7.62</v>
      </c>
      <c r="J3" s="5">
        <f>H3*I3</f>
        <v/>
      </c>
      <c r="K3" s="4" t="inlineStr">
        <is>
          <t>+2'-0"</t>
        </is>
      </c>
      <c r="L3" s="4" t="inlineStr">
        <is>
          <t>Flat 9'-6"</t>
        </is>
      </c>
      <c r="M3" s="4" t="inlineStr"/>
    </row>
    <row r="4">
      <c r="A4" s="4" t="inlineStr">
        <is>
          <t>R03</t>
        </is>
      </c>
      <c r="B4" s="4" t="inlineStr">
        <is>
          <t>Dressing alcove</t>
        </is>
      </c>
      <c r="C4" s="4" t="inlineStr">
        <is>
          <t>Master suite</t>
        </is>
      </c>
      <c r="D4" s="4" t="n">
        <v>6.5</v>
      </c>
      <c r="E4" s="4" t="n">
        <v>6</v>
      </c>
      <c r="F4" s="5">
        <f>D4*E4</f>
        <v/>
      </c>
      <c r="G4" s="5">
        <f>F4*0.092903</f>
        <v/>
      </c>
      <c r="H4" s="5" t="n">
        <v>6.12</v>
      </c>
      <c r="I4" s="5" t="n">
        <v>5.71</v>
      </c>
      <c r="J4" s="5">
        <f>H4*I4</f>
        <v/>
      </c>
      <c r="K4" s="4" t="inlineStr">
        <is>
          <t>+2'-0"</t>
        </is>
      </c>
      <c r="L4" s="4" t="inlineStr">
        <is>
          <t>Flat 9'-6"</t>
        </is>
      </c>
      <c r="M4" s="4" t="inlineStr"/>
    </row>
    <row r="5">
      <c r="A5" s="4" t="inlineStr">
        <is>
          <t>R04</t>
        </is>
      </c>
      <c r="B5" s="4" t="inlineStr">
        <is>
          <t>Ensuite</t>
        </is>
      </c>
      <c r="C5" s="4" t="inlineStr">
        <is>
          <t>Master suite</t>
        </is>
      </c>
      <c r="D5" s="4" t="n">
        <v>6.5</v>
      </c>
      <c r="E5" s="4" t="n">
        <v>8</v>
      </c>
      <c r="F5" s="5">
        <f>D5*E5</f>
        <v/>
      </c>
      <c r="G5" s="5">
        <f>F5*0.092903</f>
        <v/>
      </c>
      <c r="H5" s="5" t="n">
        <v>5.92</v>
      </c>
      <c r="I5" s="5" t="n">
        <v>7.33</v>
      </c>
      <c r="J5" s="5">
        <f>H5*I5</f>
        <v/>
      </c>
      <c r="K5" s="4" t="inlineStr">
        <is>
          <t>+1'-11.5"</t>
        </is>
      </c>
      <c r="L5" s="4" t="inlineStr">
        <is>
          <t>Flat 8'-6"</t>
        </is>
      </c>
      <c r="M5" s="4" t="inlineStr">
        <is>
          <t>Widened 1'-6" into the master: WC, 3'-6" vanity, walk-in shower</t>
        </is>
      </c>
    </row>
    <row r="6">
      <c r="A6" s="4" t="inlineStr">
        <is>
          <t>R05</t>
        </is>
      </c>
      <c r="B6" s="4" t="inlineStr">
        <is>
          <t>Master bedroom</t>
        </is>
      </c>
      <c r="C6" s="4" t="inlineStr">
        <is>
          <t>Master suite</t>
        </is>
      </c>
      <c r="D6" s="4" t="n">
        <v>9.5</v>
      </c>
      <c r="E6" s="4" t="n">
        <v>14</v>
      </c>
      <c r="F6" s="5">
        <f>D6*E6</f>
        <v/>
      </c>
      <c r="G6" s="5">
        <f>F6*0.092903</f>
        <v/>
      </c>
      <c r="H6" s="5" t="n">
        <v>9.08</v>
      </c>
      <c r="I6" s="5" t="n">
        <v>13.62</v>
      </c>
      <c r="J6" s="5">
        <f>H6*I6</f>
        <v/>
      </c>
      <c r="K6" s="4" t="inlineStr">
        <is>
          <t>+2'-0"</t>
        </is>
      </c>
      <c r="L6" s="4" t="inlineStr">
        <is>
          <t>Flat 9'-6"</t>
        </is>
      </c>
      <c r="M6" s="4" t="inlineStr"/>
    </row>
    <row r="7">
      <c r="A7" s="4" t="inlineStr">
        <is>
          <t>R08</t>
        </is>
      </c>
      <c r="B7" s="4" t="inlineStr">
        <is>
          <t>Bath 2 (attached to Bedroom 2)</t>
        </is>
      </c>
      <c r="C7" s="4" t="inlineStr">
        <is>
          <t>Private</t>
        </is>
      </c>
      <c r="D7" s="4" t="n">
        <v>7</v>
      </c>
      <c r="E7" s="4" t="n">
        <v>7</v>
      </c>
      <c r="F7" s="5">
        <f>D7*E7</f>
        <v/>
      </c>
      <c r="G7" s="5">
        <f>F7*0.092903</f>
        <v/>
      </c>
      <c r="H7" s="5" t="n">
        <v>6.5</v>
      </c>
      <c r="I7" s="5" t="n">
        <v>6.33</v>
      </c>
      <c r="J7" s="5">
        <f>H7*I7</f>
        <v/>
      </c>
      <c r="K7" s="4" t="inlineStr">
        <is>
          <t>+1'-11.5"</t>
        </is>
      </c>
      <c r="L7" s="4" t="inlineStr">
        <is>
          <t>Flat 8'-6"</t>
        </is>
      </c>
      <c r="M7" s="4" t="inlineStr"/>
    </row>
    <row r="8">
      <c r="A8" s="4" t="inlineStr">
        <is>
          <t>R07</t>
        </is>
      </c>
      <c r="B8" s="4" t="inlineStr">
        <is>
          <t>Common bath</t>
        </is>
      </c>
      <c r="C8" s="4" t="inlineStr">
        <is>
          <t>Service</t>
        </is>
      </c>
      <c r="D8" s="4" t="n">
        <v>6.5</v>
      </c>
      <c r="E8" s="4" t="n">
        <v>6</v>
      </c>
      <c r="F8" s="5">
        <f>D8*E8</f>
        <v/>
      </c>
      <c r="G8" s="5">
        <f>F8*0.092903</f>
        <v/>
      </c>
      <c r="H8" s="5" t="n">
        <v>6</v>
      </c>
      <c r="I8" s="5" t="n">
        <v>5.42</v>
      </c>
      <c r="J8" s="5">
        <f>H8*I8</f>
        <v/>
      </c>
      <c r="K8" s="4" t="inlineStr">
        <is>
          <t>+1'-11.5"</t>
        </is>
      </c>
      <c r="L8" s="4" t="inlineStr">
        <is>
          <t>Flat 8'-6"</t>
        </is>
      </c>
      <c r="M8" s="4" t="inlineStr"/>
    </row>
    <row r="9">
      <c r="A9" s="4" t="inlineStr">
        <is>
          <t>R09</t>
        </is>
      </c>
      <c r="B9" s="4" t="inlineStr">
        <is>
          <t>Bedroom 2</t>
        </is>
      </c>
      <c r="C9" s="4" t="inlineStr">
        <is>
          <t>Private</t>
        </is>
      </c>
      <c r="D9" s="4" t="n">
        <v>17</v>
      </c>
      <c r="E9" s="4" t="n">
        <v>14.5</v>
      </c>
      <c r="F9" s="5">
        <f>D9*E9</f>
        <v/>
      </c>
      <c r="G9" s="5">
        <f>F9*0.092903</f>
        <v/>
      </c>
      <c r="H9" s="5" t="n">
        <v>16.58</v>
      </c>
      <c r="I9" s="5" t="n">
        <v>13.91</v>
      </c>
      <c r="J9" s="5">
        <f>H9*I9</f>
        <v/>
      </c>
      <c r="K9" s="4" t="inlineStr">
        <is>
          <t>+2'-0"</t>
        </is>
      </c>
      <c r="L9" s="4" t="inlineStr">
        <is>
          <t>Flat 9'-6"</t>
        </is>
      </c>
      <c r="M9" s="4" t="inlineStr">
        <is>
          <t>Includes 2' x 6' built-in wardrobe</t>
        </is>
      </c>
    </row>
    <row r="10">
      <c r="A10" s="4" t="inlineStr">
        <is>
          <t>R10</t>
        </is>
      </c>
      <c r="B10" s="4" t="inlineStr">
        <is>
          <t>Dining</t>
        </is>
      </c>
      <c r="C10" s="4" t="inlineStr">
        <is>
          <t>Living</t>
        </is>
      </c>
      <c r="D10" s="4" t="n">
        <v>11</v>
      </c>
      <c r="E10" s="4" t="n">
        <v>8</v>
      </c>
      <c r="F10" s="5">
        <f>D10*E10</f>
        <v/>
      </c>
      <c r="G10" s="5">
        <f>F10*0.092903</f>
        <v/>
      </c>
      <c r="H10" s="5" t="n">
        <v>10.79</v>
      </c>
      <c r="I10" s="5" t="n">
        <v>8</v>
      </c>
      <c r="J10" s="5">
        <f>H10*I10</f>
        <v/>
      </c>
      <c r="K10" s="4" t="inlineStr">
        <is>
          <t>+2'-0"</t>
        </is>
      </c>
      <c r="L10" s="4" t="inlineStr">
        <is>
          <t>Sloped (open to ventilator)</t>
        </is>
      </c>
      <c r="M10" s="4" t="inlineStr">
        <is>
          <t>Under the ventilator lantern, at plot centre</t>
        </is>
      </c>
    </row>
    <row r="11">
      <c r="A11" s="4" t="inlineStr">
        <is>
          <t>R19</t>
        </is>
      </c>
      <c r="B11" s="4" t="inlineStr">
        <is>
          <t>Dining bay (north window)</t>
        </is>
      </c>
      <c r="C11" s="4" t="inlineStr">
        <is>
          <t>Living</t>
        </is>
      </c>
      <c r="D11" s="4" t="n">
        <v>11</v>
      </c>
      <c r="E11" s="4" t="n">
        <v>6</v>
      </c>
      <c r="F11" s="5">
        <f>D11*E11</f>
        <v/>
      </c>
      <c r="G11" s="5">
        <f>F11*0.092903</f>
        <v/>
      </c>
      <c r="H11" s="5" t="n">
        <v>10.79</v>
      </c>
      <c r="I11" s="5" t="n">
        <v>5.62</v>
      </c>
      <c r="J11" s="5">
        <f>H11*I11</f>
        <v/>
      </c>
      <c r="K11" s="4" t="inlineStr">
        <is>
          <t>+2'-0"</t>
        </is>
      </c>
      <c r="L11" s="4" t="inlineStr">
        <is>
          <t>Sloped (follows roof)</t>
        </is>
      </c>
      <c r="M11" s="4" t="inlineStr"/>
    </row>
    <row r="12">
      <c r="A12" s="4" t="inlineStr">
        <is>
          <t>R13</t>
        </is>
      </c>
      <c r="B12" s="4" t="inlineStr">
        <is>
          <t>Wet area (open to the walkway)</t>
        </is>
      </c>
      <c r="C12" s="4" t="inlineStr">
        <is>
          <t>Service</t>
        </is>
      </c>
      <c r="D12" s="4" t="n">
        <v>5</v>
      </c>
      <c r="E12" s="4" t="n">
        <v>6</v>
      </c>
      <c r="F12" s="5">
        <f>D12*E12</f>
        <v/>
      </c>
      <c r="G12" s="5">
        <f>F12*0.092903</f>
        <v/>
      </c>
      <c r="H12" s="5" t="n">
        <v>4.5</v>
      </c>
      <c r="I12" s="5" t="n">
        <v>5.71</v>
      </c>
      <c r="J12" s="5">
        <f>H12*I12</f>
        <v/>
      </c>
      <c r="K12" s="4" t="inlineStr">
        <is>
          <t>+1'-9"</t>
        </is>
      </c>
      <c r="L12" s="4" t="inlineStr">
        <is>
          <t>Sloped (open truss)</t>
        </is>
      </c>
      <c r="M12" s="4" t="inlineStr">
        <is>
          <t>Semi-open, jali on south wall</t>
        </is>
      </c>
    </row>
    <row r="13">
      <c r="A13" s="4" t="inlineStr">
        <is>
          <t>R14</t>
        </is>
      </c>
      <c r="B13" s="4" t="inlineStr">
        <is>
          <t>Sitting and serving area (open)</t>
        </is>
      </c>
      <c r="C13" s="4" t="inlineStr">
        <is>
          <t>Living</t>
        </is>
      </c>
      <c r="D13" s="4" t="n">
        <v>20.5</v>
      </c>
      <c r="E13" s="4" t="n">
        <v>7.5</v>
      </c>
      <c r="F13" s="5">
        <f>D13*E13</f>
        <v/>
      </c>
      <c r="G13" s="5">
        <f>F13*0.092903</f>
        <v/>
      </c>
      <c r="H13" s="5" t="n">
        <v>20.08</v>
      </c>
      <c r="I13" s="5" t="n">
        <v>6.92</v>
      </c>
      <c r="J13" s="5">
        <f>H13*I13</f>
        <v/>
      </c>
      <c r="K13" s="4" t="inlineStr">
        <is>
          <t>+2'-0"</t>
        </is>
      </c>
      <c r="L13" s="4" t="inlineStr">
        <is>
          <t>Flat 9'-6"</t>
        </is>
      </c>
      <c r="M13" s="4" t="inlineStr"/>
    </row>
    <row r="14">
      <c r="A14" s="4" t="inlineStr">
        <is>
          <t>R15</t>
        </is>
      </c>
      <c r="B14" s="4" t="inlineStr">
        <is>
          <t>Kitchen</t>
        </is>
      </c>
      <c r="C14" s="4" t="inlineStr">
        <is>
          <t>Service</t>
        </is>
      </c>
      <c r="D14" s="4" t="n">
        <v>14</v>
      </c>
      <c r="E14" s="4" t="n">
        <v>10</v>
      </c>
      <c r="F14" s="5">
        <f>D14*E14</f>
        <v/>
      </c>
      <c r="G14" s="5">
        <f>F14*0.092903</f>
        <v/>
      </c>
      <c r="H14" s="5" t="n">
        <v>13.41</v>
      </c>
      <c r="I14" s="5" t="n">
        <v>9.25</v>
      </c>
      <c r="J14" s="5">
        <f>H14*I14</f>
        <v/>
      </c>
      <c r="K14" s="4" t="inlineStr">
        <is>
          <t>+2'-0"</t>
        </is>
      </c>
      <c r="L14" s="4" t="inlineStr">
        <is>
          <t>Flat 9'-6"</t>
        </is>
      </c>
      <c r="M14" s="4" t="inlineStr"/>
    </row>
    <row r="15">
      <c r="A15" s="4" t="inlineStr">
        <is>
          <t>R16</t>
        </is>
      </c>
      <c r="B15" s="4" t="inlineStr">
        <is>
          <t>Living</t>
        </is>
      </c>
      <c r="C15" s="4" t="inlineStr">
        <is>
          <t>Living</t>
        </is>
      </c>
      <c r="D15" s="4" t="n">
        <v>12</v>
      </c>
      <c r="E15" s="4" t="n">
        <v>12</v>
      </c>
      <c r="F15" s="5">
        <f>D15*E15</f>
        <v/>
      </c>
      <c r="G15" s="5">
        <f>F15*0.092903</f>
        <v/>
      </c>
      <c r="H15" s="5" t="n">
        <v>11.62</v>
      </c>
      <c r="I15" s="5" t="n">
        <v>11.25</v>
      </c>
      <c r="J15" s="5">
        <f>H15*I15</f>
        <v/>
      </c>
      <c r="K15" s="4" t="inlineStr">
        <is>
          <t>+2'-0"</t>
        </is>
      </c>
      <c r="L15" s="4" t="inlineStr">
        <is>
          <t>Sloped (follows roof)</t>
        </is>
      </c>
      <c r="M15" s="4" t="inlineStr"/>
    </row>
    <row r="16">
      <c r="A16" s="4" t="inlineStr">
        <is>
          <t>R11</t>
        </is>
      </c>
      <c r="B16" s="4" t="inlineStr">
        <is>
          <t>Pooja</t>
        </is>
      </c>
      <c r="C16" s="4" t="inlineStr">
        <is>
          <t>Living</t>
        </is>
      </c>
      <c r="D16" s="4" t="n">
        <v>4</v>
      </c>
      <c r="E16" s="4" t="n">
        <v>4</v>
      </c>
      <c r="F16" s="5">
        <f>D16*E16</f>
        <v/>
      </c>
      <c r="G16" s="5">
        <f>F16*0.092903</f>
        <v/>
      </c>
      <c r="H16" s="5" t="n">
        <v>3.42</v>
      </c>
      <c r="I16" s="5" t="n">
        <v>3.42</v>
      </c>
      <c r="J16" s="5">
        <f>H16*I16</f>
        <v/>
      </c>
      <c r="K16" s="4" t="inlineStr">
        <is>
          <t>+2'-3"</t>
        </is>
      </c>
      <c r="L16" s="4" t="inlineStr">
        <is>
          <t>Flat 9'-6"</t>
        </is>
      </c>
      <c r="M16" s="4" t="inlineStr"/>
    </row>
    <row r="17">
      <c r="A17" s="4" t="inlineStr">
        <is>
          <t>R17</t>
        </is>
      </c>
      <c r="B17" s="4" t="inlineStr">
        <is>
          <t>Poomukham (verandah)</t>
        </is>
      </c>
      <c r="C17" s="4" t="inlineStr">
        <is>
          <t>Entry</t>
        </is>
      </c>
      <c r="D17" s="4" t="n">
        <v>6</v>
      </c>
      <c r="E17" s="4" t="n">
        <v>12</v>
      </c>
      <c r="F17" s="5">
        <f>D17*E17</f>
        <v/>
      </c>
      <c r="G17" s="5">
        <f>F17*0.092903</f>
        <v/>
      </c>
      <c r="H17" s="5" t="n">
        <v>5.62</v>
      </c>
      <c r="I17" s="5" t="n">
        <v>11.62</v>
      </c>
      <c r="J17" s="5">
        <f>H17*I17</f>
        <v/>
      </c>
      <c r="K17" s="4" t="inlineStr">
        <is>
          <t>+1'-6"</t>
        </is>
      </c>
      <c r="L17" s="4" t="inlineStr">
        <is>
          <t>Sloped (exposed rafters)</t>
        </is>
      </c>
      <c r="M17" s="4" t="inlineStr">
        <is>
          <t>Open verandah</t>
        </is>
      </c>
    </row>
    <row r="18">
      <c r="A18" s="6" t="inlineStr"/>
      <c r="B18" s="6" t="inlineStr">
        <is>
          <t>Total</t>
        </is>
      </c>
      <c r="C18" s="6" t="inlineStr"/>
      <c r="D18" s="6" t="inlineStr"/>
      <c r="E18" s="6" t="inlineStr"/>
      <c r="F18" s="7">
        <f>SUM(F2:F17)</f>
        <v/>
      </c>
      <c r="G18" s="7">
        <f>SUM(G2:G17)</f>
        <v/>
      </c>
      <c r="H18" s="7" t="inlineStr"/>
      <c r="I18" s="7" t="inlineStr"/>
      <c r="J18" s="7">
        <f>SUM(J2:J17)</f>
        <v/>
      </c>
      <c r="K18" s="6" t="inlineStr"/>
      <c r="L18" s="6" t="inlineStr"/>
      <c r="M18" s="6" t="inlineStr">
        <is>
          <t>Built footprint 62' x 22' = 1,364 sq ft</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10" customWidth="1" min="3" max="3"/>
    <col width="10" customWidth="1" min="4" max="4"/>
    <col width="14" customWidth="1" min="5" max="5"/>
    <col width="40" customWidth="1" min="6" max="6"/>
    <col width="44" customWidth="1" min="7" max="7"/>
    <col width="26" customWidth="1" min="8" max="8"/>
    <col width="14" customWidth="1" min="9" max="9"/>
  </cols>
  <sheetData>
    <row r="1" ht="30" customHeight="1">
      <c r="A1" s="3" t="inlineStr">
        <is>
          <t>ID</t>
        </is>
      </c>
      <c r="B1" s="3" t="inlineStr">
        <is>
          <t>Location</t>
        </is>
      </c>
      <c r="C1" s="3" t="inlineStr">
        <is>
          <t>Width (ft)</t>
        </is>
      </c>
      <c r="D1" s="3" t="inlineStr">
        <is>
          <t>Height (ft)</t>
        </is>
      </c>
      <c r="E1" s="3" t="inlineStr">
        <is>
          <t>Operation</t>
        </is>
      </c>
      <c r="F1" s="3" t="inlineStr">
        <is>
          <t>Type / material</t>
        </is>
      </c>
      <c r="G1" s="3" t="inlineStr">
        <is>
          <t>Vent above (7'-6" to 9'-0")</t>
        </is>
      </c>
      <c r="H1" s="3" t="inlineStr">
        <is>
          <t>Chosen product</t>
        </is>
      </c>
      <c r="I1" s="3" t="inlineStr">
        <is>
          <t>Status</t>
        </is>
      </c>
    </row>
    <row r="2">
      <c r="A2" s="4" t="inlineStr">
        <is>
          <t>D01</t>
        </is>
      </c>
      <c r="B2" s="4" t="inlineStr">
        <is>
          <t>Main entrance</t>
        </is>
      </c>
      <c r="C2" s="4" t="n">
        <v>3</v>
      </c>
      <c r="D2" s="4" t="n">
        <v>7</v>
      </c>
      <c r="E2" s="4" t="inlineStr">
        <is>
          <t>Hinged, double</t>
        </is>
      </c>
      <c r="F2" s="4" t="inlineStr">
        <is>
          <t>Teak panelled, double leaf</t>
        </is>
      </c>
      <c r="G2" s="4" t="inlineStr">
        <is>
          <t>-</t>
        </is>
      </c>
      <c r="H2" s="8" t="inlineStr"/>
      <c r="I2" s="8" t="inlineStr"/>
    </row>
    <row r="3">
      <c r="A3" s="4" t="inlineStr">
        <is>
          <t>D05</t>
        </is>
      </c>
      <c r="B3" s="4" t="inlineStr">
        <is>
          <t>Ensuite (opens outward)</t>
        </is>
      </c>
      <c r="C3" s="4" t="n">
        <v>2.5</v>
      </c>
      <c r="D3" s="4" t="n">
        <v>7</v>
      </c>
      <c r="E3" s="4" t="inlineStr">
        <is>
          <t>Hinged, single</t>
        </is>
      </c>
      <c r="F3" s="4" t="inlineStr">
        <is>
          <t>Flush, waterproof (WPC/FRP)</t>
        </is>
      </c>
      <c r="G3" s="4" t="inlineStr">
        <is>
          <t>-</t>
        </is>
      </c>
      <c r="H3" s="8" t="inlineStr"/>
      <c r="I3" s="8" t="inlineStr"/>
    </row>
    <row r="4">
      <c r="A4" s="4" t="inlineStr">
        <is>
          <t>D06</t>
        </is>
      </c>
      <c r="B4" s="4" t="inlineStr">
        <is>
          <t>Master suite entry, from the sitting area into the master bay</t>
        </is>
      </c>
      <c r="C4" s="4" t="n">
        <v>2.5</v>
      </c>
      <c r="D4" s="4" t="n">
        <v>7</v>
      </c>
      <c r="E4" s="4" t="inlineStr">
        <is>
          <t>Hinged, single</t>
        </is>
      </c>
      <c r="F4" s="4" t="inlineStr">
        <is>
          <t>Teak panelled, single leaf</t>
        </is>
      </c>
      <c r="G4" s="4" t="inlineStr">
        <is>
          <t>-</t>
        </is>
      </c>
      <c r="H4" s="8" t="inlineStr"/>
      <c r="I4" s="8" t="inlineStr"/>
    </row>
    <row r="5">
      <c r="A5" s="4" t="inlineStr">
        <is>
          <t>D10</t>
        </is>
      </c>
      <c r="B5" s="4" t="inlineStr">
        <is>
          <t>Bedroom 2 (from the sitting area, east end)</t>
        </is>
      </c>
      <c r="C5" s="4" t="n">
        <v>3</v>
      </c>
      <c r="D5" s="4" t="n">
        <v>7</v>
      </c>
      <c r="E5" s="4" t="inlineStr">
        <is>
          <t>Hinged, single</t>
        </is>
      </c>
      <c r="F5" s="4" t="inlineStr">
        <is>
          <t>Flush, teak veneer</t>
        </is>
      </c>
      <c r="G5" s="4" t="inlineStr">
        <is>
          <t>-</t>
        </is>
      </c>
      <c r="H5" s="8" t="inlineStr"/>
      <c r="I5" s="8" t="inlineStr"/>
    </row>
    <row r="6">
      <c r="A6" s="4" t="inlineStr">
        <is>
          <t>D15</t>
        </is>
      </c>
      <c r="B6" s="4" t="inlineStr">
        <is>
          <t>Common bath (from the sitting area, opens outward, hinged at the north jamb so the open leaf stays clear of the counter)</t>
        </is>
      </c>
      <c r="C6" s="4" t="n">
        <v>2.5</v>
      </c>
      <c r="D6" s="4" t="n">
        <v>7</v>
      </c>
      <c r="E6" s="4" t="inlineStr">
        <is>
          <t>Hinged, single</t>
        </is>
      </c>
      <c r="F6" s="4" t="inlineStr">
        <is>
          <t>Flush, waterproof (WPC/FRP), door closer</t>
        </is>
      </c>
      <c r="G6" s="4" t="inlineStr">
        <is>
          <t>-</t>
        </is>
      </c>
      <c r="H6" s="8" t="inlineStr"/>
      <c r="I6" s="8" t="inlineStr"/>
    </row>
    <row r="7">
      <c r="A7" s="4" t="inlineStr">
        <is>
          <t>D16</t>
        </is>
      </c>
      <c r="B7" s="4" t="inlineStr">
        <is>
          <t>Bath 2 (east wall, from Bedroom 2, opens outward)</t>
        </is>
      </c>
      <c r="C7" s="4" t="n">
        <v>2.5</v>
      </c>
      <c r="D7" s="4" t="n">
        <v>7</v>
      </c>
      <c r="E7" s="4" t="inlineStr">
        <is>
          <t>Hinged, single</t>
        </is>
      </c>
      <c r="F7" s="4" t="inlineStr">
        <is>
          <t>Flush, waterproof (WPC/FRP)</t>
        </is>
      </c>
      <c r="G7" s="4" t="inlineStr">
        <is>
          <t>-</t>
        </is>
      </c>
      <c r="H7" s="8" t="inlineStr"/>
      <c r="I7" s="8" t="inlineStr"/>
    </row>
    <row r="8">
      <c r="A8" s="4" t="inlineStr">
        <is>
          <t>D11</t>
        </is>
      </c>
      <c r="B8" s="4" t="inlineStr">
        <is>
          <t>Pooja</t>
        </is>
      </c>
      <c r="C8" s="4" t="n">
        <v>3</v>
      </c>
      <c r="D8" s="4" t="n">
        <v>7</v>
      </c>
      <c r="E8" s="4" t="inlineStr">
        <is>
          <t>Hinged, double</t>
        </is>
      </c>
      <c r="F8" s="4" t="inlineStr">
        <is>
          <t>Carved teak, double leaf (opens inward, clear of the living; faces west, family faces east)</t>
        </is>
      </c>
      <c r="G8" s="4" t="inlineStr">
        <is>
          <t>Teak jali vent in a frame: air passes freely (rooms with no sound-privacy need)</t>
        </is>
      </c>
      <c r="H8" s="8" t="inlineStr"/>
      <c r="I8" s="8" t="inlineStr"/>
    </row>
    <row r="9">
      <c r="A9" s="4" t="inlineStr">
        <is>
          <t>D12</t>
        </is>
      </c>
      <c r="B9" s="4" t="inlineStr">
        <is>
          <t>Kitchen to wet area</t>
        </is>
      </c>
      <c r="C9" s="4" t="n">
        <v>2.5</v>
      </c>
      <c r="D9" s="4" t="n">
        <v>7</v>
      </c>
      <c r="E9" s="4" t="inlineStr">
        <is>
          <t>Hinged, single</t>
        </is>
      </c>
      <c r="F9" s="4" t="inlineStr">
        <is>
          <t>Steel or WPC, lockable (the wet area is open to outside)</t>
        </is>
      </c>
      <c r="G9" s="4" t="inlineStr">
        <is>
          <t>-</t>
        </is>
      </c>
      <c r="H9" s="8" t="inlineStr"/>
      <c r="I9" s="8" t="inlineStr"/>
    </row>
    <row r="10">
      <c r="A10" s="4" t="inlineStr">
        <is>
          <t>D17</t>
        </is>
      </c>
      <c r="B10" s="4" t="inlineStr">
        <is>
          <t>Kitchen entry (west, from the dining alcove; hinged at the north jamb)</t>
        </is>
      </c>
      <c r="C10" s="4" t="n">
        <v>3</v>
      </c>
      <c r="D10" s="4" t="n">
        <v>7</v>
      </c>
      <c r="E10" s="4" t="inlineStr">
        <is>
          <t>Hinged, single</t>
        </is>
      </c>
      <c r="F10" s="4" t="inlineStr">
        <is>
          <t>Teak frame, glazed upper panel, 3 ft (closes off cooking smoke)</t>
        </is>
      </c>
      <c r="G10" s="4" t="inlineStr">
        <is>
          <t>-</t>
        </is>
      </c>
      <c r="H10" s="8" t="inlineStr"/>
      <c r="I10" s="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10" customWidth="1" min="3" max="3"/>
    <col width="10" customWidth="1" min="4" max="4"/>
    <col width="9" customWidth="1" min="5" max="5"/>
    <col width="9" customWidth="1" min="6" max="6"/>
    <col width="10" customWidth="1" min="7" max="7"/>
    <col width="52" customWidth="1" min="8" max="8"/>
    <col width="14" customWidth="1" min="9" max="9"/>
  </cols>
  <sheetData>
    <row r="1" ht="30" customHeight="1">
      <c r="A1" s="3" t="inlineStr">
        <is>
          <t>ID</t>
        </is>
      </c>
      <c r="B1" s="3" t="inlineStr">
        <is>
          <t>Room</t>
        </is>
      </c>
      <c r="C1" s="3" t="inlineStr">
        <is>
          <t>Wall faces</t>
        </is>
      </c>
      <c r="D1" s="3" t="inlineStr">
        <is>
          <t>Width (ft)</t>
        </is>
      </c>
      <c r="E1" s="3" t="inlineStr">
        <is>
          <t>Sill (ft)</t>
        </is>
      </c>
      <c r="F1" s="3" t="inlineStr">
        <is>
          <t>Head (ft)</t>
        </is>
      </c>
      <c r="G1" s="3" t="inlineStr">
        <is>
          <t>Height (ft)</t>
        </is>
      </c>
      <c r="H1" s="3" t="inlineStr">
        <is>
          <t>Type</t>
        </is>
      </c>
      <c r="I1" s="3" t="inlineStr">
        <is>
          <t>Status</t>
        </is>
      </c>
    </row>
    <row r="2">
      <c r="A2" s="4" t="inlineStr">
        <is>
          <t>W01</t>
        </is>
      </c>
      <c r="B2" s="4" t="inlineStr">
        <is>
          <t>Workstation</t>
        </is>
      </c>
      <c r="C2" s="4" t="inlineStr">
        <is>
          <t>South</t>
        </is>
      </c>
      <c r="D2" s="9" t="n">
        <v>5</v>
      </c>
      <c r="E2" s="9" t="n">
        <v>3</v>
      </c>
      <c r="F2" s="9" t="n">
        <v>7</v>
      </c>
      <c r="G2" s="9">
        <f>F2-E2</f>
        <v/>
      </c>
      <c r="H2" s="4" t="inlineStr">
        <is>
          <t>Timber jali + glazed shutters</t>
        </is>
      </c>
      <c r="I2" s="8" t="inlineStr"/>
    </row>
    <row r="3">
      <c r="A3" s="4" t="inlineStr">
        <is>
          <t>W03</t>
        </is>
      </c>
      <c r="B3" s="4" t="inlineStr">
        <is>
          <t>Sitting and serving area</t>
        </is>
      </c>
      <c r="C3" s="4" t="inlineStr">
        <is>
          <t>South</t>
        </is>
      </c>
      <c r="D3" s="9" t="n">
        <v>5</v>
      </c>
      <c r="E3" s="9" t="n">
        <v>3</v>
      </c>
      <c r="F3" s="9" t="n">
        <v>7</v>
      </c>
      <c r="G3" s="9">
        <f>F3-E3</f>
        <v/>
      </c>
      <c r="H3" s="4" t="inlineStr">
        <is>
          <t>Timber jali + glazed shutters</t>
        </is>
      </c>
      <c r="I3" s="8" t="inlineStr"/>
    </row>
    <row r="4">
      <c r="A4" s="4" t="inlineStr">
        <is>
          <t>W04</t>
        </is>
      </c>
      <c r="B4" s="4" t="inlineStr">
        <is>
          <t>Basin and crockery nook</t>
        </is>
      </c>
      <c r="C4" s="4" t="inlineStr">
        <is>
          <t>South</t>
        </is>
      </c>
      <c r="D4" s="9" t="n">
        <v>2.5</v>
      </c>
      <c r="E4" s="9" t="n">
        <v>3.5</v>
      </c>
      <c r="F4" s="9" t="n">
        <v>7</v>
      </c>
      <c r="G4" s="9">
        <f>F4-E4</f>
        <v/>
      </c>
      <c r="H4" s="4" t="inlineStr">
        <is>
          <t>Timber jali + glazed shutters (over the serving counter)</t>
        </is>
      </c>
      <c r="I4" s="8" t="inlineStr"/>
    </row>
    <row r="5">
      <c r="A5" s="4" t="inlineStr">
        <is>
          <t>W17</t>
        </is>
      </c>
      <c r="B5" s="4" t="inlineStr">
        <is>
          <t>Pooja</t>
        </is>
      </c>
      <c r="C5" s="4" t="inlineStr">
        <is>
          <t>East (to verandah)</t>
        </is>
      </c>
      <c r="D5" s="9" t="n">
        <v>2.8</v>
      </c>
      <c r="E5" s="9" t="n">
        <v>5.5</v>
      </c>
      <c r="F5" s="9" t="n">
        <v>7</v>
      </c>
      <c r="G5" s="9">
        <f>F5-E5</f>
        <v/>
      </c>
      <c r="H5" s="4" t="inlineStr">
        <is>
          <t>High vent to the poomukham, jali + mesh (lamp smoke out)</t>
        </is>
      </c>
      <c r="I5" s="8" t="inlineStr"/>
    </row>
    <row r="6">
      <c r="A6" s="4" t="inlineStr">
        <is>
          <t>W19</t>
        </is>
      </c>
      <c r="B6" s="4" t="inlineStr">
        <is>
          <t>Common bath</t>
        </is>
      </c>
      <c r="C6" s="4" t="inlineStr">
        <is>
          <t>South</t>
        </is>
      </c>
      <c r="D6" s="9" t="n">
        <v>2.2</v>
      </c>
      <c r="E6" s="9" t="n">
        <v>5</v>
      </c>
      <c r="F6" s="9" t="n">
        <v>7</v>
      </c>
      <c r="G6" s="9">
        <f>F6-E6</f>
        <v/>
      </c>
      <c r="H6" s="4" t="inlineStr">
        <is>
          <t>Frosted casement, top-hung vent</t>
        </is>
      </c>
      <c r="I6" s="8" t="inlineStr"/>
    </row>
    <row r="7">
      <c r="A7" s="4" t="inlineStr">
        <is>
          <t>W05</t>
        </is>
      </c>
      <c r="B7" s="4" t="inlineStr">
        <is>
          <t>Kitchen</t>
        </is>
      </c>
      <c r="C7" s="4" t="inlineStr">
        <is>
          <t>South</t>
        </is>
      </c>
      <c r="D7" s="9" t="n">
        <v>3</v>
      </c>
      <c r="E7" s="9" t="n">
        <v>3.5</v>
      </c>
      <c r="F7" s="9" t="n">
        <v>7</v>
      </c>
      <c r="G7" s="9">
        <f>F7-E7</f>
        <v/>
      </c>
      <c r="H7" s="4" t="inlineStr">
        <is>
          <t>Timber jali + glazed shutters</t>
        </is>
      </c>
      <c r="I7" s="8" t="inlineStr"/>
    </row>
    <row r="8">
      <c r="A8" s="4" t="inlineStr">
        <is>
          <t>W07</t>
        </is>
      </c>
      <c r="B8" s="4" t="inlineStr">
        <is>
          <t>Kitchen</t>
        </is>
      </c>
      <c r="C8" s="4" t="inlineStr">
        <is>
          <t>South</t>
        </is>
      </c>
      <c r="D8" s="9" t="n">
        <v>5</v>
      </c>
      <c r="E8" s="9" t="n">
        <v>3.5</v>
      </c>
      <c r="F8" s="9" t="n">
        <v>7</v>
      </c>
      <c r="G8" s="9">
        <f>F8-E8</f>
        <v/>
      </c>
      <c r="H8" s="4" t="inlineStr">
        <is>
          <t>Timber jali + glazed shutters</t>
        </is>
      </c>
      <c r="I8" s="8" t="inlineStr"/>
    </row>
    <row r="9">
      <c r="A9" s="4" t="inlineStr">
        <is>
          <t>W08</t>
        </is>
      </c>
      <c r="B9" s="4" t="inlineStr">
        <is>
          <t>Kitchen</t>
        </is>
      </c>
      <c r="C9" s="4" t="inlineStr">
        <is>
          <t>East</t>
        </is>
      </c>
      <c r="D9" s="9" t="n">
        <v>2</v>
      </c>
      <c r="E9" s="9" t="n">
        <v>3.5</v>
      </c>
      <c r="F9" s="9" t="n">
        <v>7</v>
      </c>
      <c r="G9" s="9">
        <f>F9-E9</f>
        <v/>
      </c>
      <c r="H9" s="4" t="inlineStr">
        <is>
          <t>Timber jali + glazed shutters (2 ft, north end; hob wall kept solid)</t>
        </is>
      </c>
      <c r="I9" s="8" t="inlineStr"/>
    </row>
    <row r="10">
      <c r="A10" s="4" t="inlineStr">
        <is>
          <t>W09</t>
        </is>
      </c>
      <c r="B10" s="4" t="inlineStr">
        <is>
          <t>Ensuite</t>
        </is>
      </c>
      <c r="C10" s="4" t="inlineStr">
        <is>
          <t>North</t>
        </is>
      </c>
      <c r="D10" s="9" t="n">
        <v>3</v>
      </c>
      <c r="E10" s="9" t="n">
        <v>5</v>
      </c>
      <c r="F10" s="9" t="n">
        <v>7</v>
      </c>
      <c r="G10" s="9">
        <f>F10-E10</f>
        <v/>
      </c>
      <c r="H10" s="4" t="inlineStr">
        <is>
          <t>Frosted casement</t>
        </is>
      </c>
      <c r="I10" s="8" t="inlineStr"/>
    </row>
    <row r="11">
      <c r="A11" s="4" t="inlineStr">
        <is>
          <t>W10</t>
        </is>
      </c>
      <c r="B11" s="4" t="inlineStr">
        <is>
          <t>Ensuite</t>
        </is>
      </c>
      <c r="C11" s="4" t="inlineStr">
        <is>
          <t>West</t>
        </is>
      </c>
      <c r="D11" s="9" t="n">
        <v>4</v>
      </c>
      <c r="E11" s="9" t="n">
        <v>5</v>
      </c>
      <c r="F11" s="9" t="n">
        <v>7</v>
      </c>
      <c r="G11" s="9">
        <f>F11-E11</f>
        <v/>
      </c>
      <c r="H11" s="4" t="inlineStr">
        <is>
          <t>High jali vent</t>
        </is>
      </c>
      <c r="I11" s="8" t="inlineStr"/>
    </row>
    <row r="12">
      <c r="A12" s="4" t="inlineStr">
        <is>
          <t>W11</t>
        </is>
      </c>
      <c r="B12" s="4" t="inlineStr">
        <is>
          <t>Master bedroom</t>
        </is>
      </c>
      <c r="C12" s="4" t="inlineStr">
        <is>
          <t>North</t>
        </is>
      </c>
      <c r="D12" s="9" t="n">
        <v>6</v>
      </c>
      <c r="E12" s="9" t="n">
        <v>3</v>
      </c>
      <c r="F12" s="9" t="n">
        <v>7</v>
      </c>
      <c r="G12" s="9">
        <f>F12-E12</f>
        <v/>
      </c>
      <c r="H12" s="4" t="inlineStr">
        <is>
          <t>Teak casement, glazed</t>
        </is>
      </c>
      <c r="I12" s="8" t="inlineStr"/>
    </row>
    <row r="13">
      <c r="A13" s="4" t="inlineStr">
        <is>
          <t>W12</t>
        </is>
      </c>
      <c r="B13" s="4" t="inlineStr">
        <is>
          <t>Bedroom 2</t>
        </is>
      </c>
      <c r="C13" s="4" t="inlineStr">
        <is>
          <t>North</t>
        </is>
      </c>
      <c r="D13" s="9" t="n">
        <v>6</v>
      </c>
      <c r="E13" s="9" t="n">
        <v>3</v>
      </c>
      <c r="F13" s="9" t="n">
        <v>7</v>
      </c>
      <c r="G13" s="9">
        <f>F13-E13</f>
        <v/>
      </c>
      <c r="H13" s="4" t="inlineStr">
        <is>
          <t>Teak casement, glazed (6 ft)</t>
        </is>
      </c>
      <c r="I13" s="8" t="inlineStr"/>
    </row>
    <row r="14">
      <c r="A14" s="4" t="inlineStr">
        <is>
          <t>W13</t>
        </is>
      </c>
      <c r="B14" s="4" t="inlineStr">
        <is>
          <t>Bath 2</t>
        </is>
      </c>
      <c r="C14" s="4" t="inlineStr">
        <is>
          <t>North</t>
        </is>
      </c>
      <c r="D14" s="9" t="n">
        <v>2.2</v>
      </c>
      <c r="E14" s="9" t="n">
        <v>5</v>
      </c>
      <c r="F14" s="9" t="n">
        <v>7</v>
      </c>
      <c r="G14" s="9">
        <f>F14-E14</f>
        <v/>
      </c>
      <c r="H14" s="4" t="inlineStr">
        <is>
          <t>Frosted casement, top-hung vent</t>
        </is>
      </c>
      <c r="I14" s="8" t="inlineStr"/>
    </row>
    <row r="15">
      <c r="A15" s="4" t="inlineStr">
        <is>
          <t>W20</t>
        </is>
      </c>
      <c r="B15" s="4" t="inlineStr">
        <is>
          <t>Bedroom 2</t>
        </is>
      </c>
      <c r="C15" s="4" t="inlineStr"/>
      <c r="D15" s="9" t="n">
        <v>4</v>
      </c>
      <c r="E15" s="9" t="n">
        <v>7.5</v>
      </c>
      <c r="F15" s="9" t="n">
        <v>9</v>
      </c>
      <c r="G15" s="9">
        <f>F15-E15</f>
        <v/>
      </c>
      <c r="H15" s="4" t="inlineStr">
        <is>
          <t>High jali vent to the sitting area, above the bed head (cross-ventilation with W12 and W03)</t>
        </is>
      </c>
      <c r="I15" s="8" t="inlineStr"/>
    </row>
    <row r="16">
      <c r="A16" s="4" t="inlineStr">
        <is>
          <t>W18</t>
        </is>
      </c>
      <c r="B16" s="4" t="inlineStr">
        <is>
          <t>Dining bay</t>
        </is>
      </c>
      <c r="C16" s="4" t="inlineStr">
        <is>
          <t>North</t>
        </is>
      </c>
      <c r="D16" s="9" t="n">
        <v>6</v>
      </c>
      <c r="E16" s="9" t="n">
        <v>3</v>
      </c>
      <c r="F16" s="9" t="n">
        <v>7</v>
      </c>
      <c r="G16" s="9">
        <f>F16-E16</f>
        <v/>
      </c>
      <c r="H16" s="4" t="inlineStr">
        <is>
          <t>Teak casement, glazed (north light for the dining)</t>
        </is>
      </c>
      <c r="I16" s="8" t="inlineStr"/>
    </row>
    <row r="17">
      <c r="A17" s="4" t="inlineStr">
        <is>
          <t>W14</t>
        </is>
      </c>
      <c r="B17" s="4" t="inlineStr">
        <is>
          <t>Living</t>
        </is>
      </c>
      <c r="C17" s="4" t="inlineStr">
        <is>
          <t>North</t>
        </is>
      </c>
      <c r="D17" s="9" t="n">
        <v>8</v>
      </c>
      <c r="E17" s="9" t="n">
        <v>2</v>
      </c>
      <c r="F17" s="9" t="n">
        <v>8</v>
      </c>
      <c r="G17" s="9">
        <f>F17-E17</f>
        <v/>
      </c>
      <c r="H17" s="4" t="inlineStr">
        <is>
          <t>Teak casement, tall, glazed</t>
        </is>
      </c>
      <c r="I17" s="8" t="inlineStr"/>
    </row>
    <row r="18">
      <c r="A18" s="4" t="inlineStr">
        <is>
          <t>W16</t>
        </is>
      </c>
      <c r="B18" s="4" t="inlineStr">
        <is>
          <t>Basin and crockery nook</t>
        </is>
      </c>
      <c r="C18" s="4" t="inlineStr">
        <is>
          <t>South</t>
        </is>
      </c>
      <c r="D18" s="9" t="n">
        <v>2.5</v>
      </c>
      <c r="E18" s="9" t="n">
        <v>3.5</v>
      </c>
      <c r="F18" s="9" t="n">
        <v>7</v>
      </c>
      <c r="G18" s="9">
        <f>F18-E18</f>
        <v/>
      </c>
      <c r="H18" s="4" t="inlineStr">
        <is>
          <t>Timber jali + glazed shutters (over the serving counter)</t>
        </is>
      </c>
      <c r="I18" s="8" t="inlineStr"/>
    </row>
    <row r="19">
      <c r="A19" s="4" t="inlineStr">
        <is>
          <t>SK1</t>
        </is>
      </c>
      <c r="B19" s="4" t="inlineStr">
        <is>
          <t>Roof</t>
        </is>
      </c>
      <c r="C19" s="4" t="inlineStr">
        <is>
          <t>Up</t>
        </is>
      </c>
      <c r="D19" s="9" t="inlineStr"/>
      <c r="E19" s="9" t="inlineStr"/>
      <c r="F19" s="9" t="inlineStr"/>
      <c r="G19" s="9" t="inlineStr"/>
      <c r="H19" s="4" t="inlineStr">
        <is>
          <t>Ventilator over dining, 5 x 5 ft, no glass: hipped tiled cap at 30 deg with 1'-6" overhang; 2 ft band of 45 deg louvres on all four sides; SS insect mesh behind; sealed inner shutters on a winding opener; 9 in upstand; lined shaft to the dining ceiling (see A-503)</t>
        </is>
      </c>
      <c r="I19" s="8" t="inlineStr"/>
    </row>
    <row r="20">
      <c r="A20" s="4" t="inlineStr">
        <is>
          <t>GV1-3</t>
        </is>
      </c>
      <c r="B20" s="4" t="inlineStr">
        <is>
          <t>Roof</t>
        </is>
      </c>
      <c r="C20" s="4" t="inlineStr">
        <is>
          <t>Up</t>
        </is>
      </c>
      <c r="D20" s="9" t="inlineStr"/>
      <c r="E20" s="9" t="inlineStr"/>
      <c r="F20" s="9" t="inlineStr"/>
      <c r="G20" s="9" t="inlineStr"/>
      <c r="H20" s="4" t="inlineStr">
        <is>
          <t>Three glazed/jali vents in front gable (mukhappu), morning light into living</t>
        </is>
      </c>
      <c r="I20"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34" customWidth="1" min="3" max="3"/>
    <col width="18" customWidth="1" min="4" max="4"/>
    <col width="9" customWidth="1" min="5" max="5"/>
    <col width="9" customWidth="1" min="6" max="6"/>
    <col width="6" customWidth="1" min="7" max="7"/>
    <col width="34" customWidth="1" min="8" max="8"/>
    <col width="14" customWidth="1" min="9" max="9"/>
    <col width="14" customWidth="1" min="10" max="10"/>
    <col width="26" customWidth="1" min="11" max="11"/>
    <col width="12" customWidth="1" min="12" max="12"/>
  </cols>
  <sheetData>
    <row r="1" ht="30" customHeight="1">
      <c r="A1" s="3" t="inlineStr">
        <is>
          <t>ID</t>
        </is>
      </c>
      <c r="B1" s="3" t="inlineStr">
        <is>
          <t>Room</t>
        </is>
      </c>
      <c r="C1" s="3" t="inlineStr">
        <is>
          <t>Item</t>
        </is>
      </c>
      <c r="D1" s="3" t="inlineStr">
        <is>
          <t>Category</t>
        </is>
      </c>
      <c r="E1" s="3" t="inlineStr">
        <is>
          <t>E-W (ft)</t>
        </is>
      </c>
      <c r="F1" s="3" t="inlineStr">
        <is>
          <t>N-S (ft)</t>
        </is>
      </c>
      <c r="G1" s="3" t="inlineStr">
        <is>
          <t>Qty</t>
        </is>
      </c>
      <c r="H1" s="3" t="inlineStr">
        <is>
          <t>Material / spec</t>
        </is>
      </c>
      <c r="I1" s="3" t="inlineStr">
        <is>
          <t>Est. unit cost (Rs)</t>
        </is>
      </c>
      <c r="J1" s="3" t="inlineStr">
        <is>
          <t>Line total (Rs)</t>
        </is>
      </c>
      <c r="K1" s="3" t="inlineStr">
        <is>
          <t>Chosen product / vendor</t>
        </is>
      </c>
      <c r="L1" s="3" t="inlineStr">
        <is>
          <t>Status</t>
        </is>
      </c>
    </row>
    <row r="2">
      <c r="A2" s="4" t="inlineStr">
        <is>
          <t>F01</t>
        </is>
      </c>
      <c r="B2" s="4" t="inlineStr">
        <is>
          <t>Workstation</t>
        </is>
      </c>
      <c r="C2" s="4" t="inlineStr">
        <is>
          <t>Work desk 5'6" x 2' (free-standing, cable tray)</t>
        </is>
      </c>
      <c r="D2" s="4" t="inlineStr">
        <is>
          <t>Loose furniture</t>
        </is>
      </c>
      <c r="E2" s="4" t="n">
        <v>1.9</v>
      </c>
      <c r="F2" s="4" t="n">
        <v>5.5</v>
      </c>
      <c r="G2" s="4" t="n">
        <v>1</v>
      </c>
      <c r="H2" s="4" t="inlineStr">
        <is>
          <t>Teak or ply + veneer, cable tray</t>
        </is>
      </c>
      <c r="I2" s="10" t="n"/>
      <c r="J2" s="11">
        <f>G2*I2</f>
        <v/>
      </c>
      <c r="K2" s="8" t="inlineStr"/>
      <c r="L2" s="8" t="inlineStr"/>
    </row>
    <row r="3">
      <c r="A3" s="4" t="inlineStr">
        <is>
          <t>F02</t>
        </is>
      </c>
      <c r="B3" s="4" t="inlineStr">
        <is>
          <t>Workstation</t>
        </is>
      </c>
      <c r="C3" s="4" t="inlineStr">
        <is>
          <t>Ergonomic task chair</t>
        </is>
      </c>
      <c r="D3" s="4" t="inlineStr">
        <is>
          <t>Loose furniture</t>
        </is>
      </c>
      <c r="E3" s="4" t="n">
        <v>1.2</v>
      </c>
      <c r="F3" s="4" t="n">
        <v>1.2</v>
      </c>
      <c r="G3" s="4" t="n">
        <v>1</v>
      </c>
      <c r="H3" s="4" t="inlineStr">
        <is>
          <t>Mesh back</t>
        </is>
      </c>
      <c r="I3" s="10" t="n"/>
      <c r="J3" s="11">
        <f>G3*I3</f>
        <v/>
      </c>
      <c r="K3" s="8" t="inlineStr"/>
      <c r="L3" s="8" t="inlineStr"/>
    </row>
    <row r="4">
      <c r="A4" s="4" t="inlineStr">
        <is>
          <t>F03</t>
        </is>
      </c>
      <c r="B4" s="4" t="inlineStr">
        <is>
          <t>Workstation</t>
        </is>
      </c>
      <c r="C4" s="4" t="inlineStr">
        <is>
          <t>Bookshelf, full height (video backdrop)</t>
        </is>
      </c>
      <c r="D4" s="4" t="inlineStr">
        <is>
          <t>Built-in joinery</t>
        </is>
      </c>
      <c r="E4" s="4" t="n">
        <v>1.2</v>
      </c>
      <c r="F4" s="4" t="n">
        <v>7</v>
      </c>
      <c r="G4" s="4" t="n">
        <v>1</v>
      </c>
      <c r="H4" s="4" t="inlineStr">
        <is>
          <t>Teak / ply, open shelves</t>
        </is>
      </c>
      <c r="I4" s="10" t="n"/>
      <c r="J4" s="11">
        <f>G4*I4</f>
        <v/>
      </c>
      <c r="K4" s="8" t="inlineStr"/>
      <c r="L4" s="8" t="inlineStr"/>
    </row>
    <row r="5">
      <c r="A5" s="4" t="inlineStr">
        <is>
          <t>F04</t>
        </is>
      </c>
      <c r="B5" s="4" t="inlineStr">
        <is>
          <t>Master bay</t>
        </is>
      </c>
      <c r="C5" s="4" t="inlineStr">
        <is>
          <t>Built-in wardrobe 6'-5", south wall, sliding doors, lofts above</t>
        </is>
      </c>
      <c r="D5" s="4" t="inlineStr">
        <is>
          <t>Built-in joinery</t>
        </is>
      </c>
      <c r="E5" s="4" t="n">
        <v>6.4</v>
      </c>
      <c r="F5" s="4" t="n">
        <v>2</v>
      </c>
      <c r="G5" s="4" t="n">
        <v>1</v>
      </c>
      <c r="H5" s="4" t="inlineStr">
        <is>
          <t>Ply + laminate, 2 ft deep</t>
        </is>
      </c>
      <c r="I5" s="10" t="n"/>
      <c r="J5" s="11">
        <f>G5*I5</f>
        <v/>
      </c>
      <c r="K5" s="8" t="inlineStr"/>
      <c r="L5" s="8" t="inlineStr"/>
    </row>
    <row r="6">
      <c r="A6" s="4" t="inlineStr">
        <is>
          <t>F06</t>
        </is>
      </c>
      <c r="B6" s="4" t="inlineStr">
        <is>
          <t>Dressing alcove</t>
        </is>
      </c>
      <c r="C6" s="4" t="inlineStr">
        <is>
          <t>Dresser with mirror (north wall)</t>
        </is>
      </c>
      <c r="D6" s="4" t="inlineStr">
        <is>
          <t>Loose furniture</t>
        </is>
      </c>
      <c r="E6" s="4" t="n">
        <v>3</v>
      </c>
      <c r="F6" s="4" t="n">
        <v>0.8</v>
      </c>
      <c r="G6" s="4" t="n">
        <v>1</v>
      </c>
      <c r="H6" s="4" t="inlineStr">
        <is>
          <t>Teak</t>
        </is>
      </c>
      <c r="I6" s="10" t="n"/>
      <c r="J6" s="11">
        <f>G6*I6</f>
        <v/>
      </c>
      <c r="K6" s="8" t="inlineStr"/>
      <c r="L6" s="8" t="inlineStr"/>
    </row>
    <row r="7">
      <c r="A7" s="4" t="inlineStr">
        <is>
          <t>F45</t>
        </is>
      </c>
      <c r="B7" s="4" t="inlineStr">
        <is>
          <t>Dressing alcove</t>
        </is>
      </c>
      <c r="C7" s="4" t="inlineStr">
        <is>
          <t>Built-in wardrobe, west wall, sliding doors</t>
        </is>
      </c>
      <c r="D7" s="4" t="inlineStr">
        <is>
          <t>Built-in joinery</t>
        </is>
      </c>
      <c r="E7" s="4" t="n">
        <v>2</v>
      </c>
      <c r="F7" s="4" t="n">
        <v>5.2</v>
      </c>
      <c r="G7" s="4" t="n">
        <v>1</v>
      </c>
      <c r="H7" s="4" t="inlineStr">
        <is>
          <t>Ply + laminate, 2 ft deep</t>
        </is>
      </c>
      <c r="I7" s="10" t="n"/>
      <c r="J7" s="11">
        <f>G7*I7</f>
        <v/>
      </c>
      <c r="K7" s="8" t="inlineStr"/>
      <c r="L7" s="8" t="inlineStr"/>
    </row>
    <row r="8">
      <c r="A8" s="4" t="inlineStr">
        <is>
          <t>F07</t>
        </is>
      </c>
      <c r="B8" s="4" t="inlineStr">
        <is>
          <t>Ensuite</t>
        </is>
      </c>
      <c r="C8" s="4" t="inlineStr">
        <is>
          <t>Vanity basin counter 3'-6"</t>
        </is>
      </c>
      <c r="D8" s="4" t="inlineStr">
        <is>
          <t>Sanitary / plumbing</t>
        </is>
      </c>
      <c r="E8" s="4" t="n">
        <v>3.5</v>
      </c>
      <c r="F8" s="4" t="n">
        <v>1.5</v>
      </c>
      <c r="G8" s="4" t="n">
        <v>1</v>
      </c>
      <c r="H8" s="4" t="inlineStr">
        <is>
          <t>Granite top, wall-hung</t>
        </is>
      </c>
      <c r="I8" s="10" t="n"/>
      <c r="J8" s="11">
        <f>G8*I8</f>
        <v/>
      </c>
      <c r="K8" s="8" t="inlineStr"/>
      <c r="L8" s="8" t="inlineStr"/>
    </row>
    <row r="9">
      <c r="A9" s="4" t="inlineStr">
        <is>
          <t>F08</t>
        </is>
      </c>
      <c r="B9" s="4" t="inlineStr">
        <is>
          <t>Ensuite</t>
        </is>
      </c>
      <c r="C9" s="4" t="inlineStr">
        <is>
          <t>WC (EWC)</t>
        </is>
      </c>
      <c r="D9" s="4" t="inlineStr">
        <is>
          <t>Sanitary / plumbing</t>
        </is>
      </c>
      <c r="E9" s="4" t="n">
        <v>1.8</v>
      </c>
      <c r="F9" s="4" t="n">
        <v>1.2</v>
      </c>
      <c r="G9" s="4" t="n">
        <v>1</v>
      </c>
      <c r="H9" s="4" t="inlineStr">
        <is>
          <t>Wall-hung, concealed cistern</t>
        </is>
      </c>
      <c r="I9" s="10" t="n"/>
      <c r="J9" s="11">
        <f>G9*I9</f>
        <v/>
      </c>
      <c r="K9" s="8" t="inlineStr"/>
      <c r="L9" s="8" t="inlineStr"/>
    </row>
    <row r="10">
      <c r="A10" s="4" t="inlineStr">
        <is>
          <t>F09</t>
        </is>
      </c>
      <c r="B10" s="4" t="inlineStr">
        <is>
          <t>Ensuite</t>
        </is>
      </c>
      <c r="C10" s="4" t="inlineStr">
        <is>
          <t>Shower glass partition</t>
        </is>
      </c>
      <c r="D10" s="4" t="inlineStr">
        <is>
          <t>Sanitary / plumbing</t>
        </is>
      </c>
      <c r="E10" s="4" t="n">
        <v>3.7</v>
      </c>
      <c r="F10" s="4" t="n">
        <v>0.2</v>
      </c>
      <c r="G10" s="4" t="n">
        <v>1</v>
      </c>
      <c r="H10" s="4" t="inlineStr">
        <is>
          <t>8 mm toughened glass</t>
        </is>
      </c>
      <c r="I10" s="10" t="n"/>
      <c r="J10" s="11">
        <f>G10*I10</f>
        <v/>
      </c>
      <c r="K10" s="8" t="inlineStr"/>
      <c r="L10" s="8" t="inlineStr"/>
    </row>
    <row r="11">
      <c r="A11" s="4" t="inlineStr">
        <is>
          <t>F10</t>
        </is>
      </c>
      <c r="B11" s="4" t="inlineStr">
        <is>
          <t>Master bedroom</t>
        </is>
      </c>
      <c r="C11" s="4" t="inlineStr">
        <is>
          <t>Queen bed 5' x 6'6" + headboard</t>
        </is>
      </c>
      <c r="D11" s="4" t="inlineStr">
        <is>
          <t>Loose furniture</t>
        </is>
      </c>
      <c r="E11" s="4" t="n">
        <v>6.4</v>
      </c>
      <c r="F11" s="4" t="n">
        <v>5</v>
      </c>
      <c r="G11" s="4" t="n">
        <v>1</v>
      </c>
      <c r="H11" s="4" t="inlineStr">
        <is>
          <t>Teak, head to east</t>
        </is>
      </c>
      <c r="I11" s="10" t="n"/>
      <c r="J11" s="11">
        <f>G11*I11</f>
        <v/>
      </c>
      <c r="K11" s="8" t="inlineStr"/>
      <c r="L11" s="8" t="inlineStr"/>
    </row>
    <row r="12">
      <c r="A12" s="4" t="inlineStr">
        <is>
          <t>F11</t>
        </is>
      </c>
      <c r="B12" s="4" t="inlineStr">
        <is>
          <t>Master bedroom</t>
        </is>
      </c>
      <c r="C12" s="4" t="inlineStr">
        <is>
          <t>Bedside table</t>
        </is>
      </c>
      <c r="D12" s="4" t="inlineStr">
        <is>
          <t>Loose furniture</t>
        </is>
      </c>
      <c r="E12" s="4" t="n">
        <v>1</v>
      </c>
      <c r="F12" s="4" t="n">
        <v>1</v>
      </c>
      <c r="G12" s="4" t="n">
        <v>2</v>
      </c>
      <c r="H12" s="4" t="inlineStr">
        <is>
          <t>Teak</t>
        </is>
      </c>
      <c r="I12" s="10" t="n"/>
      <c r="J12" s="11">
        <f>G12*I12</f>
        <v/>
      </c>
      <c r="K12" s="8" t="inlineStr"/>
      <c r="L12" s="8" t="inlineStr"/>
    </row>
    <row r="13">
      <c r="A13" s="4" t="inlineStr">
        <is>
          <t>F12</t>
        </is>
      </c>
      <c r="B13" s="4" t="inlineStr">
        <is>
          <t>Master bedroom</t>
        </is>
      </c>
      <c r="C13" s="4" t="inlineStr">
        <is>
          <t>Reading chair</t>
        </is>
      </c>
      <c r="D13" s="4" t="inlineStr">
        <is>
          <t>Loose furniture</t>
        </is>
      </c>
      <c r="E13" s="4" t="n">
        <v>1.4</v>
      </c>
      <c r="F13" s="4" t="n">
        <v>1.4</v>
      </c>
      <c r="G13" s="4" t="n">
        <v>1</v>
      </c>
      <c r="H13" s="4" t="inlineStr">
        <is>
          <t>Cane / upholstered</t>
        </is>
      </c>
      <c r="I13" s="10" t="n"/>
      <c r="J13" s="11">
        <f>G13*I13</f>
        <v/>
      </c>
      <c r="K13" s="8" t="inlineStr"/>
      <c r="L13" s="8" t="inlineStr"/>
    </row>
    <row r="14">
      <c r="A14" s="4" t="inlineStr">
        <is>
          <t>F54</t>
        </is>
      </c>
      <c r="B14" s="4" t="inlineStr">
        <is>
          <t>Master bedroom</t>
        </is>
      </c>
      <c r="C14" s="4" t="inlineStr">
        <is>
          <t>Window seat / diwan 5' x 2' under the north window, drawers below</t>
        </is>
      </c>
      <c r="D14" s="4" t="inlineStr">
        <is>
          <t>Loose furniture</t>
        </is>
      </c>
      <c r="E14" s="4" t="n">
        <v>5</v>
      </c>
      <c r="F14" s="4" t="n">
        <v>2</v>
      </c>
      <c r="G14" s="4" t="n">
        <v>1</v>
      </c>
      <c r="H14" s="4" t="inlineStr">
        <is>
          <t>Teak, cotton cushion</t>
        </is>
      </c>
      <c r="I14" s="10" t="n"/>
      <c r="J14" s="11">
        <f>G14*I14</f>
        <v/>
      </c>
      <c r="K14" s="8" t="inlineStr"/>
      <c r="L14" s="8" t="inlineStr"/>
    </row>
    <row r="15">
      <c r="A15" s="4" t="inlineStr">
        <is>
          <t>F16</t>
        </is>
      </c>
      <c r="B15" s="4" t="inlineStr">
        <is>
          <t>Common bath</t>
        </is>
      </c>
      <c r="C15" s="4" t="inlineStr">
        <is>
          <t>WC (EWC), 17 in clear to the north wall</t>
        </is>
      </c>
      <c r="D15" s="4" t="inlineStr">
        <is>
          <t>Sanitary / plumbing</t>
        </is>
      </c>
      <c r="E15" s="4" t="n">
        <v>1.7</v>
      </c>
      <c r="F15" s="4" t="n">
        <v>1.2</v>
      </c>
      <c r="G15" s="4" t="n">
        <v>1</v>
      </c>
      <c r="H15" s="4" t="inlineStr">
        <is>
          <t>Wall-hung on the wet wall shared with the wet area, concealed cistern</t>
        </is>
      </c>
      <c r="I15" s="10" t="n"/>
      <c r="J15" s="11">
        <f>G15*I15</f>
        <v/>
      </c>
      <c r="K15" s="8" t="inlineStr"/>
      <c r="L15" s="8" t="inlineStr"/>
    </row>
    <row r="16">
      <c r="A16" s="4" t="inlineStr">
        <is>
          <t>F17</t>
        </is>
      </c>
      <c r="B16" s="4" t="inlineStr">
        <is>
          <t>Common bath</t>
        </is>
      </c>
      <c r="C16" s="4" t="inlineStr">
        <is>
          <t>Wash basin</t>
        </is>
      </c>
      <c r="D16" s="4" t="inlineStr">
        <is>
          <t>Sanitary / plumbing</t>
        </is>
      </c>
      <c r="E16" s="4" t="n">
        <v>0.7</v>
      </c>
      <c r="F16" s="4" t="n">
        <v>1.2</v>
      </c>
      <c r="G16" s="4" t="n">
        <v>1</v>
      </c>
      <c r="H16" s="4" t="inlineStr">
        <is>
          <t>Wall-hung</t>
        </is>
      </c>
      <c r="I16" s="10" t="n"/>
      <c r="J16" s="11">
        <f>G16*I16</f>
        <v/>
      </c>
      <c r="K16" s="8" t="inlineStr"/>
      <c r="L16" s="8" t="inlineStr"/>
    </row>
    <row r="17">
      <c r="A17" s="4" t="inlineStr">
        <is>
          <t>F18</t>
        </is>
      </c>
      <c r="B17" s="4" t="inlineStr">
        <is>
          <t>Common bath</t>
        </is>
      </c>
      <c r="C17" s="4" t="inlineStr">
        <is>
          <t>Shower glass partition (3 x 3 ft shower in the south-west corner)</t>
        </is>
      </c>
      <c r="D17" s="4" t="inlineStr">
        <is>
          <t>Sanitary / plumbing</t>
        </is>
      </c>
      <c r="E17" s="4" t="n">
        <v>0.15</v>
      </c>
      <c r="F17" s="4" t="n">
        <v>2.6</v>
      </c>
      <c r="G17" s="4" t="n">
        <v>1</v>
      </c>
      <c r="H17" s="4" t="inlineStr">
        <is>
          <t>8 mm toughened glass</t>
        </is>
      </c>
      <c r="I17" s="10" t="n"/>
      <c r="J17" s="11">
        <f>G17*I17</f>
        <v/>
      </c>
      <c r="K17" s="8" t="inlineStr"/>
      <c r="L17" s="8" t="inlineStr"/>
    </row>
    <row r="18">
      <c r="A18" s="4" t="inlineStr">
        <is>
          <t>F48</t>
        </is>
      </c>
      <c r="B18" s="4" t="inlineStr">
        <is>
          <t>Bath 2</t>
        </is>
      </c>
      <c r="C18" s="4" t="inlineStr">
        <is>
          <t>WC (EWC), 15 in clear each side of its centre</t>
        </is>
      </c>
      <c r="D18" s="4" t="inlineStr">
        <is>
          <t>Sanitary / plumbing</t>
        </is>
      </c>
      <c r="E18" s="4" t="n">
        <v>1.2</v>
      </c>
      <c r="F18" s="4" t="n">
        <v>1.8</v>
      </c>
      <c r="G18" s="4" t="n">
        <v>1</v>
      </c>
      <c r="H18" s="4" t="inlineStr">
        <is>
          <t>Wall-hung on the north (outer) wall, concealed cistern</t>
        </is>
      </c>
      <c r="I18" s="10" t="n"/>
      <c r="J18" s="11">
        <f>G18*I18</f>
        <v/>
      </c>
      <c r="K18" s="8" t="inlineStr"/>
      <c r="L18" s="8" t="inlineStr"/>
    </row>
    <row r="19">
      <c r="A19" s="4" t="inlineStr">
        <is>
          <t>F49</t>
        </is>
      </c>
      <c r="B19" s="4" t="inlineStr">
        <is>
          <t>Bath 2</t>
        </is>
      </c>
      <c r="C19" s="4" t="inlineStr">
        <is>
          <t>Wash basin (south wall, dry zone)</t>
        </is>
      </c>
      <c r="D19" s="4" t="inlineStr">
        <is>
          <t>Sanitary / plumbing</t>
        </is>
      </c>
      <c r="E19" s="4" t="n">
        <v>1.5</v>
      </c>
      <c r="F19" s="4" t="n">
        <v>0.7</v>
      </c>
      <c r="G19" s="4" t="n">
        <v>1</v>
      </c>
      <c r="H19" s="4" t="inlineStr">
        <is>
          <t>Wall-hung on the wet wall</t>
        </is>
      </c>
      <c r="I19" s="10" t="n"/>
      <c r="J19" s="11">
        <f>G19*I19</f>
        <v/>
      </c>
      <c r="K19" s="8" t="inlineStr"/>
      <c r="L19" s="8" t="inlineStr"/>
    </row>
    <row r="20">
      <c r="A20" s="4" t="inlineStr">
        <is>
          <t>F50</t>
        </is>
      </c>
      <c r="B20" s="4" t="inlineStr">
        <is>
          <t>Bath 2</t>
        </is>
      </c>
      <c r="C20" s="4" t="inlineStr">
        <is>
          <t>Fixed glass splash panel at the south edge of the 3' x 3'-6" wet zone (north-east)</t>
        </is>
      </c>
      <c r="D20" s="4" t="inlineStr">
        <is>
          <t>Loose furniture</t>
        </is>
      </c>
      <c r="E20" s="4" t="n">
        <v>1.5</v>
      </c>
      <c r="F20" s="4" t="n">
        <v>0.15</v>
      </c>
      <c r="G20" s="4" t="n">
        <v>1</v>
      </c>
      <c r="H20" s="4" t="inlineStr">
        <is>
          <t>8 mm toughened glass</t>
        </is>
      </c>
      <c r="I20" s="10" t="n"/>
      <c r="J20" s="11">
        <f>G20*I20</f>
        <v/>
      </c>
      <c r="K20" s="8" t="inlineStr"/>
      <c r="L20" s="8" t="inlineStr"/>
    </row>
    <row r="21">
      <c r="A21" s="4" t="inlineStr">
        <is>
          <t>F20</t>
        </is>
      </c>
      <c r="B21" s="4" t="inlineStr">
        <is>
          <t>Bedroom 2</t>
        </is>
      </c>
      <c r="C21" s="4" t="inlineStr">
        <is>
          <t>Queen bed 5' x 6'6" + headboard, head to the east wall (padded headboard: TV on the other side)</t>
        </is>
      </c>
      <c r="D21" s="4" t="inlineStr">
        <is>
          <t>Loose furniture</t>
        </is>
      </c>
      <c r="E21" s="4" t="n">
        <v>6.35</v>
      </c>
      <c r="F21" s="4" t="n">
        <v>5</v>
      </c>
      <c r="G21" s="4" t="n">
        <v>1</v>
      </c>
      <c r="H21" s="4" t="inlineStr">
        <is>
          <t>Teak</t>
        </is>
      </c>
      <c r="I21" s="10" t="n"/>
      <c r="J21" s="11">
        <f>G21*I21</f>
        <v/>
      </c>
      <c r="K21" s="8" t="inlineStr"/>
      <c r="L21" s="8" t="inlineStr"/>
    </row>
    <row r="22">
      <c r="A22" s="4" t="inlineStr">
        <is>
          <t>F51</t>
        </is>
      </c>
      <c r="B22" s="4" t="inlineStr">
        <is>
          <t>Bedroom 2</t>
        </is>
      </c>
      <c r="C22" s="4" t="inlineStr">
        <is>
          <t>Bedside table</t>
        </is>
      </c>
      <c r="D22" s="4" t="inlineStr">
        <is>
          <t>Loose furniture</t>
        </is>
      </c>
      <c r="E22" s="4" t="n">
        <v>1</v>
      </c>
      <c r="F22" s="4" t="n">
        <v>1</v>
      </c>
      <c r="G22" s="4" t="n">
        <v>2</v>
      </c>
      <c r="H22" s="4" t="inlineStr">
        <is>
          <t>Teak</t>
        </is>
      </c>
      <c r="I22" s="10" t="n"/>
      <c r="J22" s="11">
        <f>G22*I22</f>
        <v/>
      </c>
      <c r="K22" s="8" t="inlineStr"/>
      <c r="L22" s="8" t="inlineStr"/>
    </row>
    <row r="23">
      <c r="A23" s="4" t="inlineStr">
        <is>
          <t>F22</t>
        </is>
      </c>
      <c r="B23" s="4" t="inlineStr">
        <is>
          <t>Bedroom 2</t>
        </is>
      </c>
      <c r="C23" s="4" t="inlineStr">
        <is>
          <t>Work table 4' x 2' with monitor (east wall, north of the bed; north window to the side)</t>
        </is>
      </c>
      <c r="D23" s="4" t="inlineStr">
        <is>
          <t>Loose furniture</t>
        </is>
      </c>
      <c r="E23" s="4" t="n">
        <v>2</v>
      </c>
      <c r="F23" s="4" t="n">
        <v>4</v>
      </c>
      <c r="G23" s="4" t="n">
        <v>1</v>
      </c>
      <c r="H23" s="4" t="inlineStr">
        <is>
          <t>Teak / ply, cable tray, monitor arm</t>
        </is>
      </c>
      <c r="I23" s="10" t="n"/>
      <c r="J23" s="11">
        <f>G23*I23</f>
        <v/>
      </c>
      <c r="K23" s="8" t="inlineStr"/>
      <c r="L23" s="8" t="inlineStr"/>
    </row>
    <row r="24">
      <c r="A24" s="4" t="inlineStr">
        <is>
          <t>F23</t>
        </is>
      </c>
      <c r="B24" s="4" t="inlineStr">
        <is>
          <t>Bedroom 2</t>
        </is>
      </c>
      <c r="C24" s="4" t="inlineStr">
        <is>
          <t>Built-in wardrobe 6' with a mirror door (west wall, shared with the master: also a sound buffer)</t>
        </is>
      </c>
      <c r="D24" s="4" t="inlineStr">
        <is>
          <t>Built-in joinery</t>
        </is>
      </c>
      <c r="E24" s="4" t="n">
        <v>2</v>
      </c>
      <c r="F24" s="4" t="n">
        <v>6</v>
      </c>
      <c r="G24" s="4" t="n">
        <v>1</v>
      </c>
      <c r="H24" s="4" t="inlineStr">
        <is>
          <t>Ply + laminate</t>
        </is>
      </c>
      <c r="I24" s="10" t="n"/>
      <c r="J24" s="11">
        <f>G24*I24</f>
        <v/>
      </c>
      <c r="K24" s="8" t="inlineStr"/>
      <c r="L24" s="8" t="inlineStr"/>
    </row>
    <row r="25">
      <c r="A25" s="4" t="inlineStr">
        <is>
          <t>F24</t>
        </is>
      </c>
      <c r="B25" s="4" t="inlineStr">
        <is>
          <t>Dining</t>
        </is>
      </c>
      <c r="C25" s="4" t="inlineStr">
        <is>
          <t>Dining table 5' x 3', 6-seat</t>
        </is>
      </c>
      <c r="D25" s="4" t="inlineStr">
        <is>
          <t>Loose furniture</t>
        </is>
      </c>
      <c r="E25" s="4" t="n">
        <v>5</v>
      </c>
      <c r="F25" s="4" t="n">
        <v>3</v>
      </c>
      <c r="G25" s="4" t="n">
        <v>1</v>
      </c>
      <c r="H25" s="4" t="inlineStr">
        <is>
          <t>Teak or rosewood</t>
        </is>
      </c>
      <c r="I25" s="10" t="n"/>
      <c r="J25" s="11">
        <f>G25*I25</f>
        <v/>
      </c>
      <c r="K25" s="8" t="inlineStr"/>
      <c r="L25" s="8" t="inlineStr"/>
    </row>
    <row r="26">
      <c r="A26" s="4" t="inlineStr">
        <is>
          <t>F25</t>
        </is>
      </c>
      <c r="B26" s="4" t="inlineStr">
        <is>
          <t>Dining</t>
        </is>
      </c>
      <c r="C26" s="4" t="inlineStr">
        <is>
          <t>Dining chair</t>
        </is>
      </c>
      <c r="D26" s="4" t="inlineStr">
        <is>
          <t>Loose furniture</t>
        </is>
      </c>
      <c r="E26" s="4" t="n">
        <v>1.1</v>
      </c>
      <c r="F26" s="4" t="n">
        <v>1</v>
      </c>
      <c r="G26" s="4" t="n">
        <v>6</v>
      </c>
      <c r="H26" s="4" t="inlineStr">
        <is>
          <t>Teak + cane</t>
        </is>
      </c>
      <c r="I26" s="10" t="n"/>
      <c r="J26" s="11">
        <f>G26*I26</f>
        <v/>
      </c>
      <c r="K26" s="8" t="inlineStr"/>
      <c r="L26" s="8" t="inlineStr"/>
    </row>
    <row r="27">
      <c r="A27" s="4" t="inlineStr">
        <is>
          <t>F26</t>
        </is>
      </c>
      <c r="B27" s="4" t="inlineStr">
        <is>
          <t>Pooja</t>
        </is>
      </c>
      <c r="C27" s="4" t="inlineStr">
        <is>
          <t>Pooja mandapam on the east wall (idols face west; family faces east)</t>
        </is>
      </c>
      <c r="D27" s="4" t="inlineStr">
        <is>
          <t>Built-in joinery</t>
        </is>
      </c>
      <c r="E27" s="4" t="n">
        <v>0.6</v>
      </c>
      <c r="F27" s="4" t="n">
        <v>3</v>
      </c>
      <c r="G27" s="4" t="n">
        <v>1</v>
      </c>
      <c r="H27" s="4" t="inlineStr">
        <is>
          <t>Carved teak</t>
        </is>
      </c>
      <c r="I27" s="10" t="n"/>
      <c r="J27" s="11">
        <f>G27*I27</f>
        <v/>
      </c>
      <c r="K27" s="8" t="inlineStr"/>
      <c r="L27" s="8" t="inlineStr"/>
    </row>
    <row r="28">
      <c r="A28" s="4" t="inlineStr">
        <is>
          <t>F28</t>
        </is>
      </c>
      <c r="B28" s="4" t="inlineStr">
        <is>
          <t>Sitting and serving area</t>
        </is>
      </c>
      <c r="C28" s="4" t="inlineStr">
        <is>
          <t>Built-in bench with storage drawers below</t>
        </is>
      </c>
      <c r="D28" s="4" t="inlineStr">
        <is>
          <t>Loose furniture</t>
        </is>
      </c>
      <c r="E28" s="4" t="n">
        <v>1.5</v>
      </c>
      <c r="F28" s="4" t="n">
        <v>2.8</v>
      </c>
      <c r="G28" s="4" t="n">
        <v>1</v>
      </c>
      <c r="H28" s="4" t="inlineStr">
        <is>
          <t>Teak top, ply drawers, on legs</t>
        </is>
      </c>
      <c r="I28" s="10" t="n"/>
      <c r="J28" s="11">
        <f>G28*I28</f>
        <v/>
      </c>
      <c r="K28" s="8" t="inlineStr"/>
      <c r="L28" s="8" t="inlineStr"/>
    </row>
    <row r="29">
      <c r="A29" s="4" t="inlineStr">
        <is>
          <t>F29</t>
        </is>
      </c>
      <c r="B29" s="4" t="inlineStr">
        <is>
          <t>Wet area</t>
        </is>
      </c>
      <c r="C29" s="4" t="inlineStr">
        <is>
          <t>Utility sink counter (on the kitchen wall)</t>
        </is>
      </c>
      <c r="D29" s="4" t="inlineStr">
        <is>
          <t>Sanitary / plumbing</t>
        </is>
      </c>
      <c r="E29" s="4" t="n">
        <v>1.7</v>
      </c>
      <c r="F29" s="4" t="n">
        <v>2.5</v>
      </c>
      <c r="G29" s="4" t="n">
        <v>1</v>
      </c>
      <c r="H29" s="4" t="inlineStr">
        <is>
          <t>Kadappa / granite, SS sinks</t>
        </is>
      </c>
      <c r="I29" s="10" t="n"/>
      <c r="J29" s="11">
        <f>G29*I29</f>
        <v/>
      </c>
      <c r="K29" s="8" t="inlineStr"/>
      <c r="L29" s="8" t="inlineStr"/>
    </row>
    <row r="30">
      <c r="A30" s="4" t="inlineStr">
        <is>
          <t>F30</t>
        </is>
      </c>
      <c r="B30" s="4" t="inlineStr">
        <is>
          <t>Wet area</t>
        </is>
      </c>
      <c r="C30" s="4" t="inlineStr">
        <is>
          <t>Washing machine bay 2' x 2' (covered back corner, 2 in clear of the bath wall)</t>
        </is>
      </c>
      <c r="D30" s="4" t="inlineStr">
        <is>
          <t>Appliance / joinery</t>
        </is>
      </c>
      <c r="E30" s="4" t="n">
        <v>1.9</v>
      </c>
      <c r="F30" s="4" t="n">
        <v>1.9</v>
      </c>
      <c r="G30" s="4" t="n">
        <v>1</v>
      </c>
      <c r="H30" s="4" t="inlineStr">
        <is>
          <t>Splash-proof socket, floor drain</t>
        </is>
      </c>
      <c r="I30" s="10" t="n"/>
      <c r="J30" s="11">
        <f>G30*I30</f>
        <v/>
      </c>
      <c r="K30" s="8" t="inlineStr"/>
      <c r="L30" s="8" t="inlineStr"/>
    </row>
    <row r="31">
      <c r="A31" s="4" t="inlineStr">
        <is>
          <t>F31</t>
        </is>
      </c>
      <c r="B31" s="4" t="inlineStr">
        <is>
          <t>Wet area</t>
        </is>
      </c>
      <c r="C31" s="4" t="inlineStr">
        <is>
          <t>Fold-away clothesline in the south walkway</t>
        </is>
      </c>
      <c r="D31" s="4" t="inlineStr">
        <is>
          <t>Loose furniture</t>
        </is>
      </c>
      <c r="E31" s="4" t="n">
        <v>4</v>
      </c>
      <c r="F31" s="4" t="n">
        <v>1.8</v>
      </c>
      <c r="G31" s="4" t="n">
        <v>1</v>
      </c>
      <c r="H31" s="4" t="inlineStr">
        <is>
          <t>SS wire, wall brackets</t>
        </is>
      </c>
      <c r="I31" s="10" t="n"/>
      <c r="J31" s="11">
        <f>G31*I31</f>
        <v/>
      </c>
      <c r="K31" s="8" t="inlineStr"/>
      <c r="L31" s="8" t="inlineStr"/>
    </row>
    <row r="32">
      <c r="A32" s="4" t="inlineStr">
        <is>
          <t>F44</t>
        </is>
      </c>
      <c r="B32" s="4" t="inlineStr">
        <is>
          <t>Wet area</t>
        </is>
      </c>
      <c r="C32" s="4" t="inlineStr">
        <is>
          <t>Tall slim utility cupboard (brooms, mops, detergents)</t>
        </is>
      </c>
      <c r="D32" s="4" t="inlineStr">
        <is>
          <t>Built-in joinery</t>
        </is>
      </c>
      <c r="E32" s="4" t="n">
        <v>1.2</v>
      </c>
      <c r="F32" s="4" t="n">
        <v>1.2</v>
      </c>
      <c r="G32" s="4" t="n">
        <v>1</v>
      </c>
      <c r="H32" s="4" t="inlineStr">
        <is>
          <t>Ply + laminate on legs, louvred doors</t>
        </is>
      </c>
      <c r="I32" s="10" t="n"/>
      <c r="J32" s="11">
        <f>G32*I32</f>
        <v/>
      </c>
      <c r="K32" s="8" t="inlineStr"/>
      <c r="L32" s="8" t="inlineStr"/>
    </row>
    <row r="33">
      <c r="A33" s="4" t="inlineStr">
        <is>
          <t>F32</t>
        </is>
      </c>
      <c r="B33" s="4" t="inlineStr">
        <is>
          <t>Sitting and serving area</t>
        </is>
      </c>
      <c r="C33" s="4" t="inlineStr">
        <is>
          <t>Hand-wash basin at the east end of the serving counter, just outside the common bath (after meals); mirror on the side wall</t>
        </is>
      </c>
      <c r="D33" s="4" t="inlineStr">
        <is>
          <t>Sanitary / plumbing</t>
        </is>
      </c>
      <c r="E33" s="4" t="n">
        <v>1.9</v>
      </c>
      <c r="F33" s="4" t="n">
        <v>2</v>
      </c>
      <c r="G33" s="4" t="n">
        <v>1</v>
      </c>
      <c r="H33" s="4" t="inlineStr">
        <is>
          <t>Ceramic basin in granite top</t>
        </is>
      </c>
      <c r="I33" s="10" t="n"/>
      <c r="J33" s="11">
        <f>G33*I33</f>
        <v/>
      </c>
      <c r="K33" s="8" t="inlineStr"/>
      <c r="L33" s="8" t="inlineStr"/>
    </row>
    <row r="34">
      <c r="A34" s="4" t="inlineStr">
        <is>
          <t>F33</t>
        </is>
      </c>
      <c r="B34" s="4" t="inlineStr">
        <is>
          <t>Sitting and serving area</t>
        </is>
      </c>
      <c r="C34" s="4" t="inlineStr">
        <is>
          <t>Serving counter with crockery cabinets above, 6 ft</t>
        </is>
      </c>
      <c r="D34" s="4" t="inlineStr">
        <is>
          <t>Built-in joinery</t>
        </is>
      </c>
      <c r="E34" s="4" t="n">
        <v>6</v>
      </c>
      <c r="F34" s="4" t="n">
        <v>2</v>
      </c>
      <c r="G34" s="4" t="n">
        <v>1</v>
      </c>
      <c r="H34" s="4" t="inlineStr">
        <is>
          <t>Granite top, teak + glass shutters</t>
        </is>
      </c>
      <c r="I34" s="10" t="n"/>
      <c r="J34" s="11">
        <f>G34*I34</f>
        <v/>
      </c>
      <c r="K34" s="8" t="inlineStr"/>
      <c r="L34" s="8" t="inlineStr"/>
    </row>
    <row r="35">
      <c r="A35" s="4" t="inlineStr">
        <is>
          <t>F56</t>
        </is>
      </c>
      <c r="B35" s="4" t="inlineStr">
        <is>
          <t>Sitting and serving area</t>
        </is>
      </c>
      <c r="C35" s="4" t="inlineStr">
        <is>
          <t>Tall storage cupboard 5' x 2' (bedding, suitcases, festival vessels), loft above</t>
        </is>
      </c>
      <c r="D35" s="4" t="inlineStr">
        <is>
          <t>Built-in joinery</t>
        </is>
      </c>
      <c r="E35" s="4" t="n">
        <v>5</v>
      </c>
      <c r="F35" s="4" t="n">
        <v>2</v>
      </c>
      <c r="G35" s="4" t="n">
        <v>1</v>
      </c>
      <c r="H35" s="4" t="inlineStr">
        <is>
          <t>Ply + laminate, full height</t>
        </is>
      </c>
      <c r="I35" s="10" t="n"/>
      <c r="J35" s="11">
        <f>G35*I35</f>
        <v/>
      </c>
      <c r="K35" s="8" t="inlineStr"/>
      <c r="L35" s="8" t="inlineStr"/>
    </row>
    <row r="36">
      <c r="A36" s="4" t="inlineStr">
        <is>
          <t>F34</t>
        </is>
      </c>
      <c r="B36" s="4" t="inlineStr">
        <is>
          <t>Kitchen</t>
        </is>
      </c>
      <c r="C36" s="4" t="inlineStr">
        <is>
          <t>L-counter, south run</t>
        </is>
      </c>
      <c r="D36" s="4" t="inlineStr">
        <is>
          <t>Built-in joinery</t>
        </is>
      </c>
      <c r="E36" s="4" t="n">
        <v>13.2</v>
      </c>
      <c r="F36" s="4" t="n">
        <v>2</v>
      </c>
      <c r="G36" s="4" t="n">
        <v>1</v>
      </c>
      <c r="H36" s="4" t="inlineStr">
        <is>
          <t>Granite top, ply carcass</t>
        </is>
      </c>
      <c r="I36" s="10" t="n"/>
      <c r="J36" s="11">
        <f>G36*I36</f>
        <v/>
      </c>
      <c r="K36" s="8" t="inlineStr"/>
      <c r="L36" s="8" t="inlineStr"/>
    </row>
    <row r="37">
      <c r="A37" s="4" t="inlineStr">
        <is>
          <t>F35</t>
        </is>
      </c>
      <c r="B37" s="4" t="inlineStr">
        <is>
          <t>Kitchen</t>
        </is>
      </c>
      <c r="C37" s="4" t="inlineStr">
        <is>
          <t>L-counter, east run (hob centred 7'-6" from the south wall face, on solid wall)</t>
        </is>
      </c>
      <c r="D37" s="4" t="inlineStr">
        <is>
          <t>Built-in joinery</t>
        </is>
      </c>
      <c r="E37" s="4" t="n">
        <v>2</v>
      </c>
      <c r="F37" s="4" t="n">
        <v>7</v>
      </c>
      <c r="G37" s="4" t="n">
        <v>1</v>
      </c>
      <c r="H37" s="4" t="inlineStr">
        <is>
          <t>Granite top, cook faces east</t>
        </is>
      </c>
      <c r="I37" s="10" t="n"/>
      <c r="J37" s="11">
        <f>G37*I37</f>
        <v/>
      </c>
      <c r="K37" s="8" t="inlineStr"/>
      <c r="L37" s="8" t="inlineStr"/>
    </row>
    <row r="38">
      <c r="A38" s="4" t="inlineStr">
        <is>
          <t>F36</t>
        </is>
      </c>
      <c r="B38" s="4" t="inlineStr">
        <is>
          <t>Kitchen</t>
        </is>
      </c>
      <c r="C38" s="4" t="inlineStr">
        <is>
          <t>Refrigerator space (kitchen north wall, behind the pooja, door facing south)</t>
        </is>
      </c>
      <c r="D38" s="4" t="inlineStr">
        <is>
          <t>Appliance / joinery</t>
        </is>
      </c>
      <c r="E38" s="4" t="n">
        <v>2.5</v>
      </c>
      <c r="F38" s="4" t="n">
        <v>2.4</v>
      </c>
      <c r="G38" s="4" t="n">
        <v>1</v>
      </c>
      <c r="H38" s="4" t="inlineStr">
        <is>
          <t>Double-door, 2'6" wide</t>
        </is>
      </c>
      <c r="I38" s="10" t="n"/>
      <c r="J38" s="11">
        <f>G38*I38</f>
        <v/>
      </c>
      <c r="K38" s="8" t="inlineStr"/>
      <c r="L38" s="8" t="inlineStr"/>
    </row>
    <row r="39">
      <c r="A39" s="4" t="inlineStr">
        <is>
          <t>F55</t>
        </is>
      </c>
      <c r="B39" s="4" t="inlineStr">
        <is>
          <t>Kitchen</t>
        </is>
      </c>
      <c r="C39" s="4" t="inlineStr">
        <is>
          <t>Tall pantry 4'-5" x 2' on the north wall (provisions, rice, vessels)</t>
        </is>
      </c>
      <c r="D39" s="4" t="inlineStr">
        <is>
          <t>Loose furniture</t>
        </is>
      </c>
      <c r="E39" s="4" t="n">
        <v>4.4</v>
      </c>
      <c r="F39" s="4" t="n">
        <v>2</v>
      </c>
      <c r="G39" s="4" t="n">
        <v>1</v>
      </c>
      <c r="H39" s="4" t="inlineStr">
        <is>
          <t>Ply + laminate, full height with loft</t>
        </is>
      </c>
      <c r="I39" s="10" t="n"/>
      <c r="J39" s="11">
        <f>G39*I39</f>
        <v/>
      </c>
      <c r="K39" s="8" t="inlineStr"/>
      <c r="L39" s="8" t="inlineStr"/>
    </row>
    <row r="40">
      <c r="A40" s="4" t="inlineStr">
        <is>
          <t>F38</t>
        </is>
      </c>
      <c r="B40" s="4" t="inlineStr">
        <is>
          <t>Dining bay</t>
        </is>
      </c>
      <c r="C40" s="4" t="inlineStr">
        <is>
          <t>Three-seat sofa 6'6" facing west to the TV</t>
        </is>
      </c>
      <c r="D40" s="4" t="inlineStr">
        <is>
          <t>Loose furniture</t>
        </is>
      </c>
      <c r="E40" s="4" t="n">
        <v>2.7</v>
      </c>
      <c r="F40" s="4" t="n">
        <v>5.9</v>
      </c>
      <c r="G40" s="4" t="n">
        <v>1</v>
      </c>
      <c r="H40" s="4" t="inlineStr">
        <is>
          <t>Teak frame, cotton cushions</t>
        </is>
      </c>
      <c r="I40" s="10" t="n"/>
      <c r="J40" s="11">
        <f>G40*I40</f>
        <v/>
      </c>
      <c r="K40" s="8" t="inlineStr"/>
      <c r="L40" s="8" t="inlineStr"/>
    </row>
    <row r="41">
      <c r="A41" s="4" t="inlineStr">
        <is>
          <t>F39</t>
        </is>
      </c>
      <c r="B41" s="4" t="inlineStr">
        <is>
          <t>Dining bay</t>
        </is>
      </c>
      <c r="C41" s="4" t="inlineStr">
        <is>
          <t>Coffee table 3'6" x 2'</t>
        </is>
      </c>
      <c r="D41" s="4" t="inlineStr">
        <is>
          <t>Loose furniture</t>
        </is>
      </c>
      <c r="E41" s="4" t="n">
        <v>2</v>
      </c>
      <c r="F41" s="4" t="n">
        <v>3.5</v>
      </c>
      <c r="G41" s="4" t="n">
        <v>1</v>
      </c>
      <c r="H41" s="4" t="inlineStr">
        <is>
          <t>Teak</t>
        </is>
      </c>
      <c r="I41" s="10" t="n"/>
      <c r="J41" s="11">
        <f>G41*I41</f>
        <v/>
      </c>
      <c r="K41" s="8" t="inlineStr"/>
      <c r="L41" s="8" t="inlineStr"/>
    </row>
    <row r="42">
      <c r="A42" s="4" t="inlineStr">
        <is>
          <t>F53</t>
        </is>
      </c>
      <c r="B42" s="4" t="inlineStr">
        <is>
          <t>Dining bay</t>
        </is>
      </c>
      <c r="C42" s="4" t="inlineStr">
        <is>
          <t>TV unit 4'-5" on Bedroom 2's east wall (55-65 in TV wall-mounted above)</t>
        </is>
      </c>
      <c r="D42" s="4" t="inlineStr">
        <is>
          <t>Appliance / joinery</t>
        </is>
      </c>
      <c r="E42" s="4" t="n">
        <v>1.3</v>
      </c>
      <c r="F42" s="4" t="n">
        <v>4.4</v>
      </c>
      <c r="G42" s="4" t="n">
        <v>1</v>
      </c>
      <c r="H42" s="4" t="inlineStr">
        <is>
          <t>Teak, low, open shelves</t>
        </is>
      </c>
      <c r="I42" s="10" t="n"/>
      <c r="J42" s="11">
        <f>G42*I42</f>
        <v/>
      </c>
      <c r="K42" s="8" t="inlineStr"/>
      <c r="L42" s="8" t="inlineStr"/>
    </row>
    <row r="43">
      <c r="A43" s="4" t="inlineStr">
        <is>
          <t>F40</t>
        </is>
      </c>
      <c r="B43" s="4" t="inlineStr">
        <is>
          <t>Living</t>
        </is>
      </c>
      <c r="C43" s="4" t="inlineStr">
        <is>
          <t>Armchair by the north window</t>
        </is>
      </c>
      <c r="D43" s="4" t="inlineStr">
        <is>
          <t>Loose furniture</t>
        </is>
      </c>
      <c r="E43" s="4" t="n">
        <v>2</v>
      </c>
      <c r="F43" s="4" t="n">
        <v>1.6</v>
      </c>
      <c r="G43" s="4" t="n">
        <v>1</v>
      </c>
      <c r="H43" s="4" t="inlineStr">
        <is>
          <t>Cane / teak</t>
        </is>
      </c>
      <c r="I43" s="10" t="n"/>
      <c r="J43" s="11">
        <f>G43*I43</f>
        <v/>
      </c>
      <c r="K43" s="8" t="inlineStr"/>
      <c r="L43" s="8" t="inlineStr"/>
    </row>
    <row r="44">
      <c r="A44" s="4" t="inlineStr">
        <is>
          <t>F52</t>
        </is>
      </c>
      <c r="B44" s="4" t="inlineStr">
        <is>
          <t>Living</t>
        </is>
      </c>
      <c r="C44" s="4" t="inlineStr">
        <is>
          <t>Shoe cupboard 3'-3" beside the main door (closed shutters, louvred for air)</t>
        </is>
      </c>
      <c r="D44" s="4" t="inlineStr">
        <is>
          <t>Built-in joinery</t>
        </is>
      </c>
      <c r="E44" s="4" t="n">
        <v>1.2</v>
      </c>
      <c r="F44" s="4" t="n">
        <v>3.2</v>
      </c>
      <c r="G44" s="4" t="n">
        <v>1</v>
      </c>
      <c r="H44" s="4" t="inlineStr">
        <is>
          <t>Ply + laminate, 14 in deep</t>
        </is>
      </c>
      <c r="I44" s="10" t="n"/>
      <c r="J44" s="11">
        <f>G44*I44</f>
        <v/>
      </c>
      <c r="K44" s="8" t="inlineStr"/>
      <c r="L44" s="8" t="inlineStr"/>
    </row>
    <row r="45">
      <c r="A45" s="4" t="inlineStr">
        <is>
          <t>F41</t>
        </is>
      </c>
      <c r="B45" s="4" t="inlineStr">
        <is>
          <t>Poomukham (verandah)</t>
        </is>
      </c>
      <c r="C45" s="4" t="inlineStr">
        <is>
          <t>Oonjal (swing) 3'6"</t>
        </is>
      </c>
      <c r="D45" s="4" t="inlineStr">
        <is>
          <t>Loose furniture</t>
        </is>
      </c>
      <c r="E45" s="4" t="n">
        <v>3.5</v>
      </c>
      <c r="F45" s="4" t="n">
        <v>1.5</v>
      </c>
      <c r="G45" s="4" t="n">
        <v>1</v>
      </c>
      <c r="H45" s="4" t="inlineStr">
        <is>
          <t>Teak, chains to beam</t>
        </is>
      </c>
      <c r="I45" s="10" t="n"/>
      <c r="J45" s="11">
        <f>G45*I45</f>
        <v/>
      </c>
      <c r="K45" s="8" t="inlineStr"/>
      <c r="L45" s="8" t="inlineStr"/>
    </row>
    <row r="46">
      <c r="A46" s="4" t="inlineStr">
        <is>
          <t>F42</t>
        </is>
      </c>
      <c r="B46" s="4" t="inlineStr">
        <is>
          <t>Poomukham (verandah)</t>
        </is>
      </c>
      <c r="C46" s="4" t="inlineStr">
        <is>
          <t>Arugu seat (built-in, south end)</t>
        </is>
      </c>
      <c r="D46" s="4" t="inlineStr">
        <is>
          <t>Built-in joinery</t>
        </is>
      </c>
      <c r="E46" s="4" t="n">
        <v>1.2</v>
      </c>
      <c r="F46" s="4" t="n">
        <v>2.4</v>
      </c>
      <c r="G46" s="4" t="n">
        <v>1</v>
      </c>
      <c r="H46" s="4" t="inlineStr">
        <is>
          <t>Laterite base, teak top</t>
        </is>
      </c>
      <c r="I46" s="10" t="n"/>
      <c r="J46" s="11">
        <f>G46*I46</f>
        <v/>
      </c>
      <c r="K46" s="8" t="inlineStr"/>
      <c r="L46" s="8" t="inlineStr"/>
    </row>
    <row r="47">
      <c r="A47" s="6" t="inlineStr"/>
      <c r="B47" s="6" t="inlineStr"/>
      <c r="C47" s="6" t="inlineStr">
        <is>
          <t>Total</t>
        </is>
      </c>
      <c r="D47" s="6" t="inlineStr"/>
      <c r="E47" s="6" t="inlineStr"/>
      <c r="F47" s="6" t="inlineStr"/>
      <c r="G47" s="6">
        <f>SUM(G2:G46)</f>
        <v/>
      </c>
      <c r="H47" s="6" t="inlineStr"/>
      <c r="I47" s="12" t="inlineStr"/>
      <c r="J47" s="12">
        <f>SUM(J2:J46)</f>
        <v/>
      </c>
      <c r="K47" s="6" t="inlineStr"/>
      <c r="L47" s="6" t="inlineStr"/>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4" customWidth="1" min="1" max="1"/>
    <col width="32" customWidth="1" min="2" max="2"/>
    <col width="32" customWidth="1" min="3" max="3"/>
    <col width="34" customWidth="1" min="4" max="4"/>
    <col width="26" customWidth="1" min="5" max="5"/>
    <col width="16" customWidth="1" min="6" max="6"/>
  </cols>
  <sheetData>
    <row r="1" ht="30" customHeight="1">
      <c r="A1" s="3" t="inlineStr">
        <is>
          <t>Space</t>
        </is>
      </c>
      <c r="B1" s="3" t="inlineStr">
        <is>
          <t>Floor</t>
        </is>
      </c>
      <c r="C1" s="3" t="inlineStr">
        <is>
          <t>Walls</t>
        </is>
      </c>
      <c r="D1" s="3" t="inlineStr">
        <is>
          <t>Ceiling</t>
        </is>
      </c>
      <c r="E1" s="3" t="inlineStr">
        <is>
          <t>Notes</t>
        </is>
      </c>
      <c r="F1" s="3" t="inlineStr">
        <is>
          <t>Decision</t>
        </is>
      </c>
    </row>
    <row r="2">
      <c r="A2" s="4" t="inlineStr">
        <is>
          <t>Living, dining, hall</t>
        </is>
      </c>
      <c r="B2" s="4" t="inlineStr">
        <is>
          <t>Red oxide (IPS) or polished Kota / Tandur stone</t>
        </is>
      </c>
      <c r="C2" s="4" t="inlineStr">
        <is>
          <t>4 in flush skirting in floor stone; lime-finish or mineral paint</t>
        </is>
      </c>
      <c r="D2" s="4" t="inlineStr">
        <is>
          <t>Sloped, follows roof, insulated board under deck</t>
        </is>
      </c>
      <c r="E2" s="4" t="inlineStr">
        <is>
          <t>Stone hides dust better than glossy white tile</t>
        </is>
      </c>
      <c r="F2" s="8" t="inlineStr"/>
    </row>
    <row r="3">
      <c r="A3" s="4" t="inlineStr">
        <is>
          <t>Bedrooms, offices, dressing</t>
        </is>
      </c>
      <c r="B3" s="4" t="inlineStr">
        <is>
          <t>Matt vitrified 2x2 ft or red oxide</t>
        </is>
      </c>
      <c r="C3" s="4" t="inlineStr">
        <is>
          <t>4 in flush skirting; putty + washable emulsion</t>
        </is>
      </c>
      <c r="D3" s="4" t="inlineStr">
        <is>
          <t>False ceiling at 9'-6", 50 mm insulation above</t>
        </is>
      </c>
      <c r="E3" s="4" t="inlineStr">
        <is>
          <t>Ventilated attic above false ceiling</t>
        </is>
      </c>
      <c r="F3" s="8" t="inlineStr"/>
    </row>
    <row r="4">
      <c r="A4" s="4" t="inlineStr">
        <is>
          <t>Pooja</t>
        </is>
      </c>
      <c r="B4" s="4" t="inlineStr">
        <is>
          <t>White marble or teak</t>
        </is>
      </c>
      <c r="C4" s="4" t="inlineStr">
        <is>
          <t>Teak panelling behind idol; 4 in marble skirting</t>
        </is>
      </c>
      <c r="D4" s="4" t="inlineStr">
        <is>
          <t>Teak / board at 9'-6"</t>
        </is>
      </c>
      <c r="E4" s="4" t="inlineStr">
        <is>
          <t>Idols on the east wall facing west (family faces east); lamp niche with heat-proof back</t>
        </is>
      </c>
      <c r="F4" s="8" t="inlineStr"/>
    </row>
    <row r="5">
      <c r="A5" s="4" t="inlineStr">
        <is>
          <t>Kitchen</t>
        </is>
      </c>
      <c r="B5" s="4" t="inlineStr">
        <is>
          <t>Anti-skid matt vitrified or Kota, mid-tone</t>
        </is>
      </c>
      <c r="C5" s="4" t="inlineStr">
        <is>
          <t>Tile / stone full height between counter and wall cabinets</t>
        </is>
      </c>
      <c r="D5" s="4" t="inlineStr">
        <is>
          <t>Moisture-resistant board at 9'-6"</t>
        </is>
      </c>
      <c r="E5" s="4" t="inlineStr">
        <is>
          <t>Counter granite (local Ongole / Chimakurthy), 2 ft deep</t>
        </is>
      </c>
      <c r="F5" s="8" t="inlineStr"/>
    </row>
    <row r="6">
      <c r="A6" s="4" t="inlineStr">
        <is>
          <t>Ensuite, Bath 2, common bath</t>
        </is>
      </c>
      <c r="B6" s="4" t="inlineStr">
        <is>
          <t>Anti-skid ceramic (R11), falls 1:60 to drain</t>
        </is>
      </c>
      <c r="C6" s="4" t="inlineStr">
        <is>
          <t>Tiles to 7 ft; full height in shower; waterproofing 12 in up all walls, 7 ft in shower</t>
        </is>
      </c>
      <c r="D6" s="4" t="inlineStr">
        <is>
          <t>Moisture-resistant board / PVC at 8'-6"</t>
        </is>
      </c>
      <c r="E6" s="4" t="inlineStr">
        <is>
          <t>12 mm step down, no raised threshold; doors open outward; SS grab bars by the WC and in the shower</t>
        </is>
      </c>
      <c r="F6" s="8" t="inlineStr"/>
    </row>
    <row r="7">
      <c r="A7" s="4" t="inlineStr">
        <is>
          <t>Wet area</t>
        </is>
      </c>
      <c r="B7" s="4" t="inlineStr">
        <is>
          <t>Rough Cuddapah / Kota stone, falls to drain</t>
        </is>
      </c>
      <c r="C7" s="4" t="inlineStr">
        <is>
          <t>4 ft stone or tile dado</t>
        </is>
      </c>
      <c r="D7" s="4" t="inlineStr">
        <is>
          <t>Open truss</t>
        </is>
      </c>
      <c r="E7" s="4" t="inlineStr">
        <is>
          <t>6 in kerb under jali wall stops rain blowing in</t>
        </is>
      </c>
      <c r="F7" s="8" t="inlineStr"/>
    </row>
    <row r="8">
      <c r="A8" s="4" t="inlineStr">
        <is>
          <t>Family store, sitting area</t>
        </is>
      </c>
      <c r="B8" s="4" t="inlineStr">
        <is>
          <t>Red oxide or vitrified</t>
        </is>
      </c>
      <c r="C8" s="4" t="inlineStr">
        <is>
          <t>4 in flush skirting; washable paint</t>
        </is>
      </c>
      <c r="D8" s="4" t="inlineStr">
        <is>
          <t>Board at 9'-6"</t>
        </is>
      </c>
      <c r="E8" s="4" t="inlineStr"/>
      <c r="F8" s="8" t="inlineStr"/>
    </row>
    <row r="9">
      <c r="A9" s="4" t="inlineStr">
        <is>
          <t>Poomukham, steps</t>
        </is>
      </c>
      <c r="B9" s="4" t="inlineStr">
        <is>
          <t>Flamed / leather-finish granite (not polished)</t>
        </is>
      </c>
      <c r="C9" s="4" t="inlineStr">
        <is>
          <t>Granite skirting; plinth face clad 2 ft (splash zone)</t>
        </is>
      </c>
      <c r="D9" s="4" t="inlineStr">
        <is>
          <t>Exposed rafters + board</t>
        </is>
      </c>
      <c r="E9" s="4" t="inlineStr">
        <is>
          <t>Polished stone is slippery when wet</t>
        </is>
      </c>
      <c r="F9" s="8" t="inlineStr"/>
    </row>
    <row r="10">
      <c r="A10" s="4" t="inlineStr">
        <is>
          <t>Exterior</t>
        </is>
      </c>
      <c r="B10" s="4" t="inlineStr">
        <is>
          <t>Plinth apron: PCC 3 ft wide sloped away</t>
        </is>
      </c>
      <c r="C10" s="4" t="inlineStr">
        <is>
          <t>AAC + 20 mm plaster with waterproof additive; elastomeric paint</t>
        </is>
      </c>
      <c r="D10" s="4" t="inlineStr">
        <is>
          <t>-</t>
        </is>
      </c>
      <c r="E10" s="4" t="inlineStr">
        <is>
          <t>Drip grooves under every sill and sunshade</t>
        </is>
      </c>
      <c r="F10" s="8" t="inlineStr"/>
    </row>
    <row r="11">
      <c r="A11" s="4" t="inlineStr">
        <is>
          <t>Roof (all)</t>
        </is>
      </c>
      <c r="B11" s="4" t="inlineStr">
        <is>
          <t>Mangalore clay tiles, every edge tile clipped / screwed</t>
        </is>
      </c>
      <c r="C11" s="4" t="inlineStr">
        <is>
          <t>Membrane + 50 mm insulation on cement-fibre deck</t>
        </is>
      </c>
      <c r="D11" s="4" t="inlineStr">
        <is>
          <t>Steel truss on RCC ring beam</t>
        </is>
      </c>
      <c r="E11" s="4" t="inlineStr">
        <is>
          <t>Cyclone winds: tie trusses down with holding-down bolts</t>
        </is>
      </c>
      <c r="F11" s="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70" customWidth="1" min="3" max="3"/>
    <col width="50" customWidth="1" min="4" max="4"/>
  </cols>
  <sheetData>
    <row r="1" ht="30" customHeight="1">
      <c r="A1" s="3" t="inlineStr">
        <is>
          <t>Category</t>
        </is>
      </c>
      <c r="B1" s="3" t="inlineStr">
        <is>
          <t>Element</t>
        </is>
      </c>
      <c r="C1" s="3" t="inlineStr">
        <is>
          <t>Specification</t>
        </is>
      </c>
      <c r="D1" s="3" t="inlineStr">
        <is>
          <t>Why (Guntur)</t>
        </is>
      </c>
    </row>
    <row r="2">
      <c r="A2" s="4" t="inlineStr">
        <is>
          <t>Substructure</t>
        </is>
      </c>
      <c r="B2" s="4" t="inlineStr">
        <is>
          <t>Soil investigation</t>
        </is>
      </c>
      <c r="C2" s="4" t="inlineStr">
        <is>
          <t>Min. 2 bore holes to 3 m or refusal; swell test, SBC</t>
        </is>
      </c>
      <c r="D2" s="4" t="inlineStr">
        <is>
          <t>Black cotton soil swells when wet and shrinks when dry</t>
        </is>
      </c>
    </row>
    <row r="3">
      <c r="A3" s="4" t="inlineStr">
        <is>
          <t>Substructure</t>
        </is>
      </c>
      <c r="B3" s="4" t="inlineStr">
        <is>
          <t>Foundations</t>
        </is>
      </c>
      <c r="C3" s="4" t="inlineStr">
        <is>
          <t>As per engineer: footings below the active zone (often 1.5-2.5 m) or under-reamed piles; 300 mm sand/moorum cushion</t>
        </is>
      </c>
      <c r="D3" s="4" t="inlineStr">
        <is>
          <t>Prevents seasonal heave cracking</t>
        </is>
      </c>
    </row>
    <row r="4">
      <c r="A4" s="4" t="inlineStr">
        <is>
          <t>Substructure</t>
        </is>
      </c>
      <c r="B4" s="4" t="inlineStr">
        <is>
          <t>Plinth beam + DPC</t>
        </is>
      </c>
      <c r="C4" s="4" t="inlineStr">
        <is>
          <t>RCC plinth beam all round; 40 mm DPC with waterproofing compound at plinth top</t>
        </is>
      </c>
      <c r="D4" s="4" t="inlineStr">
        <is>
          <t>Stops rising damp into AAC</t>
        </is>
      </c>
    </row>
    <row r="5">
      <c r="A5" s="4" t="inlineStr">
        <is>
          <t>Substructure</t>
        </is>
      </c>
      <c r="B5" s="4" t="inlineStr">
        <is>
          <t>Plinth fill</t>
        </is>
      </c>
      <c r="C5" s="4" t="inlineStr">
        <is>
          <t>Non-expansive moorum / gravel in 150 mm layers, compacted; no black soil fill</t>
        </is>
      </c>
      <c r="D5" s="4" t="inlineStr">
        <is>
          <t>Black soil under the floor will heave the slab</t>
        </is>
      </c>
    </row>
    <row r="6">
      <c r="A6" s="4" t="inlineStr">
        <is>
          <t>Substructure</t>
        </is>
      </c>
      <c r="B6" s="4" t="inlineStr">
        <is>
          <t>Anti-termite</t>
        </is>
      </c>
      <c r="C6" s="4" t="inlineStr">
        <is>
          <t>Pre-construction chemical treatment (IS 6313) at foundation, plinth fill and around walls</t>
        </is>
      </c>
      <c r="D6" s="4" t="inlineStr">
        <is>
          <t>High termite risk; cannot be redone easily later</t>
        </is>
      </c>
    </row>
    <row r="7">
      <c r="A7" s="4" t="inlineStr">
        <is>
          <t>Substructure</t>
        </is>
      </c>
      <c r="B7" s="4" t="inlineStr">
        <is>
          <t>Plinth protection</t>
        </is>
      </c>
      <c r="C7" s="4" t="inlineStr">
        <is>
          <t>3 ft PCC apron with slope away, joint sealed to wall</t>
        </is>
      </c>
      <c r="D7" s="4" t="inlineStr">
        <is>
          <t>Keeps rain off expansive soil next to foundations</t>
        </is>
      </c>
    </row>
    <row r="8">
      <c r="A8" s="4" t="inlineStr">
        <is>
          <t>Frame</t>
        </is>
      </c>
      <c r="B8" s="4" t="inlineStr">
        <is>
          <t>Columns, beams, bands</t>
        </is>
      </c>
      <c r="C8" s="4" t="inlineStr">
        <is>
          <t>RCC frame; lintel band at door head, ring beam at wall top; seismic zone III detailing (IS 13920 as engineer decides)</t>
        </is>
      </c>
      <c r="D8" s="4" t="inlineStr">
        <is>
          <t>AAC infill is not load-bearing for truss + cyclone loads</t>
        </is>
      </c>
    </row>
    <row r="9">
      <c r="A9" s="4" t="inlineStr">
        <is>
          <t>Walls</t>
        </is>
      </c>
      <c r="B9" s="4" t="inlineStr">
        <is>
          <t>AAC blocks</t>
        </is>
      </c>
      <c r="C9" s="4" t="inlineStr">
        <is>
          <t>IS 2185-3, 200 mm outer / 150 mm wet walls / 100 mm inner; thin-bed polymer mortar</t>
        </is>
      </c>
      <c r="D9" s="4" t="inlineStr">
        <is>
          <t>Better insulation than brick; lighter frame</t>
        </is>
      </c>
    </row>
    <row r="10">
      <c r="A10" s="4" t="inlineStr">
        <is>
          <t>Walls</t>
        </is>
      </c>
      <c r="B10" s="4" t="inlineStr">
        <is>
          <t>AAC to RCC joints</t>
        </is>
      </c>
      <c r="C10" s="4" t="inlineStr">
        <is>
          <t>Galvanised mesh strip 150 mm wide over every block-concrete joint before plaster</t>
        </is>
      </c>
      <c r="D10" s="4" t="inlineStr">
        <is>
          <t>The most common AAC crack; cheap to prevent</t>
        </is>
      </c>
    </row>
    <row r="11">
      <c r="A11" s="4" t="inlineStr">
        <is>
          <t>Walls</t>
        </is>
      </c>
      <c r="B11" s="4" t="inlineStr">
        <is>
          <t>Chasing</t>
        </is>
      </c>
      <c r="C11" s="4" t="inlineStr">
        <is>
          <t>Cut chases with a groover, never hammer; fill with polymer mortar + mesh</t>
        </is>
      </c>
      <c r="D11" s="4" t="inlineStr">
        <is>
          <t>Hammering cracks AAC blocks</t>
        </is>
      </c>
    </row>
    <row r="12">
      <c r="A12" s="4" t="inlineStr">
        <is>
          <t>Walls</t>
        </is>
      </c>
      <c r="B12" s="4" t="inlineStr">
        <is>
          <t>External plaster</t>
        </is>
      </c>
      <c r="C12" s="4" t="inlineStr">
        <is>
          <t>20 mm, two coats, waterproof admixture, cured 7 days; elastomeric paint</t>
        </is>
      </c>
      <c r="D12" s="4" t="inlineStr">
        <is>
          <t>Wind-driven cyclone rain</t>
        </is>
      </c>
    </row>
    <row r="13">
      <c r="A13" s="4" t="inlineStr">
        <is>
          <t>Roof</t>
        </is>
      </c>
      <c r="B13" s="4" t="inlineStr">
        <is>
          <t>Structure</t>
        </is>
      </c>
      <c r="C13" s="4" t="inlineStr">
        <is>
          <t>Steel truss (hot-dip galvanised or epoxy primed), 30 deg pitch, bolted to ring beam with holding-down bolts</t>
        </is>
      </c>
      <c r="D13" s="4" t="inlineStr">
        <is>
          <t>Uplift in cyclone winds</t>
        </is>
      </c>
    </row>
    <row r="14">
      <c r="A14" s="4" t="inlineStr">
        <is>
          <t>Roof</t>
        </is>
      </c>
      <c r="B14" s="4" t="inlineStr">
        <is>
          <t>Deck and insulation</t>
        </is>
      </c>
      <c r="C14" s="4" t="inlineStr">
        <is>
          <t>Cement-fibre board deck + 50 mm PIR/XPS or reflective insulation + membrane, then battens and Mangalore tiles</t>
        </is>
      </c>
      <c r="D14" s="4" t="inlineStr">
        <is>
          <t>Cuts attic heat in 45 C summers</t>
        </is>
      </c>
    </row>
    <row r="15">
      <c r="A15" s="4" t="inlineStr">
        <is>
          <t>Roof</t>
        </is>
      </c>
      <c r="B15" s="4" t="inlineStr">
        <is>
          <t>Tile fixing</t>
        </is>
      </c>
      <c r="C15" s="4" t="inlineStr">
        <is>
          <t>Clip or screw every tile at eaves, verges, ridges and hips, and every 3rd row elsewhere; ridges bedded and pointed</t>
        </is>
      </c>
      <c r="D15" s="4" t="inlineStr">
        <is>
          <t>Loose tiles fly in cyclones</t>
        </is>
      </c>
    </row>
    <row r="16">
      <c r="A16" s="4" t="inlineStr">
        <is>
          <t>Roof</t>
        </is>
      </c>
      <c r="B16" s="4" t="inlineStr">
        <is>
          <t>Ventilation</t>
        </is>
      </c>
      <c r="C16" s="4" t="inlineStr">
        <is>
          <t>Ridge / gable vents with bird and insect mesh; soffit vents at eaves</t>
        </is>
      </c>
      <c r="D16" s="4" t="inlineStr">
        <is>
          <t>Flushes hot air from the attic</t>
        </is>
      </c>
    </row>
    <row r="17">
      <c r="A17" s="4" t="inlineStr">
        <is>
          <t>Roof</t>
        </is>
      </c>
      <c r="B17" s="4" t="inlineStr">
        <is>
          <t>Dining ventilator</t>
        </is>
      </c>
      <c r="C17" s="4" t="inlineStr">
        <is>
          <t>Steel frame bolted to the truss; hipped tiled cap at 30 deg, 1'-6" overhang; 45 deg timber or aluminium louvres with 4 in lap; SS 304 mesh about 1.2 mm (18 x 16) in a sealed continuous frame; inner shutters with EPDM seals and a winding opener at 5 ft; 9 in upstand with flashing; fibre-cement lined, insulated shaft</t>
        </is>
      </c>
      <c r="D17" s="4" t="inlineStr">
        <is>
          <t>Lets hot air out, keeps out rain, mosquitoes and attic dust, and closes for AC</t>
        </is>
      </c>
    </row>
    <row r="18">
      <c r="A18" s="4" t="inlineStr">
        <is>
          <t>Roof</t>
        </is>
      </c>
      <c r="B18" s="4" t="inlineStr">
        <is>
          <t>Gutters and downpipes</t>
        </is>
      </c>
      <c r="C18" s="4" t="inlineStr">
        <is>
          <t>150 mm half-round gutters with leaf guard, 100 mm downpipes at 8 points, to sump filter and recharge pit</t>
        </is>
      </c>
      <c r="D18" s="4" t="inlineStr">
        <is>
          <t>Short heavy bursts; protects the plinth</t>
        </is>
      </c>
    </row>
    <row r="19">
      <c r="A19" s="4" t="inlineStr">
        <is>
          <t>Openings</t>
        </is>
      </c>
      <c r="B19" s="4" t="inlineStr">
        <is>
          <t>Windows</t>
        </is>
      </c>
      <c r="C19" s="4" t="inlineStr">
        <is>
          <t>Hardwood or UPVC frames; mosquito mesh on every opening; MS grill for security</t>
        </is>
      </c>
      <c r="D19" s="4" t="inlineStr">
        <is>
          <t>Mosquitoes; ground-floor security</t>
        </is>
      </c>
    </row>
    <row r="20">
      <c r="A20" s="4" t="inlineStr">
        <is>
          <t>Openings</t>
        </is>
      </c>
      <c r="B20" s="4" t="inlineStr">
        <is>
          <t>Sills and sunshades</t>
        </is>
      </c>
      <c r="C20" s="4" t="inlineStr">
        <is>
          <t>External sills sloped 1:10 with drip groove; 2 ft sunshades with drip groove; 18 in projecting drip under the jali wall</t>
        </is>
      </c>
      <c r="D20" s="4" t="inlineStr">
        <is>
          <t>Stops staining and water entry</t>
        </is>
      </c>
    </row>
    <row r="21">
      <c r="A21" s="4" t="inlineStr">
        <is>
          <t>Openings</t>
        </is>
      </c>
      <c r="B21" s="4" t="inlineStr">
        <is>
          <t>Vents above inner doors</t>
        </is>
      </c>
      <c r="C21" s="4" t="inlineStr">
        <is>
          <t>Pooja: open jali; bedrooms and bathrooms: none (the workstation has no door for now). 7'-6" to 9'-0" above the lintel band</t>
        </is>
      </c>
      <c r="D21" s="4" t="inlineStr">
        <is>
          <t>Air moves with doors shut where privacy allows; bedrooms rely on their north windows, fans and AC</t>
        </is>
      </c>
    </row>
    <row r="22">
      <c r="A22" s="4" t="inlineStr">
        <is>
          <t>Openings</t>
        </is>
      </c>
      <c r="B22" s="4" t="inlineStr">
        <is>
          <t>Bathroom doors</t>
        </is>
      </c>
      <c r="C22" s="4" t="inlineStr">
        <is>
          <t>WPC / FRP shutters on WPC or granite frame base; no wooden frame touching the wet floor</t>
        </is>
      </c>
      <c r="D22" s="4" t="inlineStr">
        <is>
          <t>Wood frames rot at the bottom</t>
        </is>
      </c>
    </row>
    <row r="23">
      <c r="A23" s="4" t="inlineStr">
        <is>
          <t>Floors</t>
        </is>
      </c>
      <c r="B23" s="4" t="inlineStr">
        <is>
          <t>General</t>
        </is>
      </c>
      <c r="C23" s="4" t="inlineStr">
        <is>
          <t>4 in skirting flush with the wall plaster (groove in plaster); 3 mm epoxy grout in wet areas</t>
        </is>
      </c>
      <c r="D23" s="4" t="inlineStr">
        <is>
          <t>No dust ledge, no black grout lines</t>
        </is>
      </c>
    </row>
    <row r="24">
      <c r="A24" s="4" t="inlineStr">
        <is>
          <t>Floors</t>
        </is>
      </c>
      <c r="B24" s="4" t="inlineStr">
        <is>
          <t>Wet rooms</t>
        </is>
      </c>
      <c r="C24" s="4" t="inlineStr">
        <is>
          <t>Waterproofing (polymer cementitious) floor + 12 in up walls + 7 ft in shower; flood test 48 h before tiling</t>
        </is>
      </c>
      <c r="D24" s="4" t="inlineStr">
        <is>
          <t>Leak into neighbouring rooms is the top complaint</t>
        </is>
      </c>
    </row>
    <row r="25">
      <c r="A25" s="4" t="inlineStr">
        <is>
          <t>Plumbing</t>
        </is>
      </c>
      <c r="B25" s="4" t="inlineStr">
        <is>
          <t>Supply</t>
        </is>
      </c>
      <c r="C25" s="4" t="inlineStr">
        <is>
          <t>CPVC hot/cold; supply runs along external walls in clamps or shallow chases; isolation valve per bathroom and kitchen</t>
        </is>
      </c>
      <c r="D25" s="4" t="inlineStr">
        <is>
          <t>Easy repair without breaking tiles</t>
        </is>
      </c>
    </row>
    <row r="26">
      <c r="A26" s="4" t="inlineStr">
        <is>
          <t>Plumbing</t>
        </is>
      </c>
      <c r="B26" s="4" t="inlineStr">
        <is>
          <t>Drainage</t>
        </is>
      </c>
      <c r="C26" s="4" t="inlineStr">
        <is>
          <t>uPVC SWR 110 mm soil, 75 mm waste; inspection chamber at every bend and junction; separate soil and grey-water lines</t>
        </is>
      </c>
      <c r="D26" s="4" t="inlineStr">
        <is>
          <t>Easy rodding</t>
        </is>
      </c>
    </row>
    <row r="27">
      <c r="A27" s="4" t="inlineStr">
        <is>
          <t>Plumbing</t>
        </is>
      </c>
      <c r="B27" s="4" t="inlineStr">
        <is>
          <t>Water treatment</t>
        </is>
      </c>
      <c r="C27" s="4" t="inlineStr">
        <is>
          <t>RO for drinking at kitchen; whole-house softener if hardness &gt; 300 mg/l; matt fittings</t>
        </is>
      </c>
      <c r="D27" s="4" t="inlineStr">
        <is>
          <t>Guntur groundwater is often hard with high fluoride</t>
        </is>
      </c>
    </row>
    <row r="28">
      <c r="A28" s="4" t="inlineStr">
        <is>
          <t>Electrical</t>
        </is>
      </c>
      <c r="B28" s="4" t="inlineStr">
        <is>
          <t>Wiring</t>
        </is>
      </c>
      <c r="C28" s="4" t="inlineStr">
        <is>
          <t>FR-LSH copper; 1.5 sq mm lights, 2.5 sq mm sockets, 4 sq mm AC / geyser; separate circuits per AC</t>
        </is>
      </c>
      <c r="D28" s="4" t="inlineStr">
        <is>
          <t>AC loads</t>
        </is>
      </c>
    </row>
    <row r="29">
      <c r="A29" s="4" t="inlineStr">
        <is>
          <t>Electrical</t>
        </is>
      </c>
      <c r="B29" s="4" t="inlineStr">
        <is>
          <t>Protection</t>
        </is>
      </c>
      <c r="C29" s="4" t="inlineStr">
        <is>
          <t>RCCB 30 mA + MCBs; 2 earth pits; surge protection device; DB in an accessible spot</t>
        </is>
      </c>
      <c r="D29" s="4" t="inlineStr">
        <is>
          <t>Shock and lightning safety</t>
        </is>
      </c>
    </row>
    <row r="30">
      <c r="A30" s="4" t="inlineStr">
        <is>
          <t>Electrical</t>
        </is>
      </c>
      <c r="B30" s="4" t="inlineStr">
        <is>
          <t>Backup</t>
        </is>
      </c>
      <c r="C30" s="4" t="inlineStr">
        <is>
          <t>Inverter circuit to lights, fans, office sockets and router; conduit from roof to DB for future solar PV</t>
        </is>
      </c>
      <c r="D30" s="4" t="inlineStr">
        <is>
          <t>Power cuts during work-from-home</t>
        </is>
      </c>
    </row>
    <row r="31">
      <c r="A31" s="4" t="inlineStr">
        <is>
          <t>Electrical</t>
        </is>
      </c>
      <c r="B31" s="4" t="inlineStr">
        <is>
          <t>AC provisions</t>
        </is>
      </c>
      <c r="C31" s="4" t="inlineStr">
        <is>
          <t>16 A socket at 7 ft, 65 mm sleeve through wall, drain pipe to outside, ODU brackets on shaded walls</t>
        </is>
      </c>
      <c r="D31" s="4" t="inlineStr">
        <is>
          <t>Retrofitting later means breaking walls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10" customWidth="1" min="3" max="3"/>
    <col width="8" customWidth="1" min="4" max="4"/>
    <col width="46" customWidth="1" min="5" max="5"/>
    <col width="14" customWidth="1" min="6" max="6"/>
    <col width="16" customWidth="1" min="7" max="7"/>
  </cols>
  <sheetData>
    <row r="1" ht="30" customHeight="1">
      <c r="A1" s="3" t="inlineStr">
        <is>
          <t>Group</t>
        </is>
      </c>
      <c r="B1" s="3" t="inlineStr">
        <is>
          <t>Item</t>
        </is>
      </c>
      <c r="C1" s="3" t="inlineStr">
        <is>
          <t>Qty</t>
        </is>
      </c>
      <c r="D1" s="3" t="inlineStr">
        <is>
          <t>Unit</t>
        </is>
      </c>
      <c r="E1" s="3" t="inlineStr">
        <is>
          <t>Basis</t>
        </is>
      </c>
      <c r="F1" s="3" t="inlineStr">
        <is>
          <t>Rate (Rs / unit)</t>
        </is>
      </c>
      <c r="G1" s="3" t="inlineStr">
        <is>
          <t>Amount (Rs)</t>
        </is>
      </c>
    </row>
    <row r="2">
      <c r="A2" s="4" t="inlineStr">
        <is>
          <t>Walls</t>
        </is>
      </c>
      <c r="B2" s="4" t="inlineStr">
        <is>
          <t>AAC blocks, 200 mm outer walls</t>
        </is>
      </c>
      <c r="C2" s="4" t="n">
        <v>22.94</v>
      </c>
      <c r="D2" s="4" t="inlineStr">
        <is>
          <t>cu m</t>
        </is>
      </c>
      <c r="E2" s="4" t="inlineStr">
        <is>
          <t>Net of openings, FFL to beam soffit</t>
        </is>
      </c>
      <c r="F2" s="10" t="n"/>
      <c r="G2" s="11">
        <f>IF(F2="","",C2*F2)</f>
        <v/>
      </c>
    </row>
    <row r="3">
      <c r="A3" s="4" t="inlineStr">
        <is>
          <t>Walls</t>
        </is>
      </c>
      <c r="B3" s="4" t="inlineStr">
        <is>
          <t>AAC blocks, 150 mm wet walls</t>
        </is>
      </c>
      <c r="C3" s="4" t="n">
        <v>3.59</v>
      </c>
      <c r="D3" s="4" t="inlineStr">
        <is>
          <t>cu m</t>
        </is>
      </c>
      <c r="E3" s="4" t="inlineStr">
        <is>
          <t>Net of openings, FFL to beam soffit</t>
        </is>
      </c>
      <c r="F3" s="10" t="n"/>
      <c r="G3" s="11">
        <f>IF(F3="","",C3*F3)</f>
        <v/>
      </c>
    </row>
    <row r="4">
      <c r="A4" s="4" t="inlineStr">
        <is>
          <t>Walls</t>
        </is>
      </c>
      <c r="B4" s="4" t="inlineStr">
        <is>
          <t>AAC blocks, 100 mm inner walls</t>
        </is>
      </c>
      <c r="C4" s="4" t="n">
        <v>6.18</v>
      </c>
      <c r="D4" s="4" t="inlineStr">
        <is>
          <t>cu m</t>
        </is>
      </c>
      <c r="E4" s="4" t="inlineStr">
        <is>
          <t>Net of openings, FFL to beam soffit</t>
        </is>
      </c>
      <c r="F4" s="10" t="n"/>
      <c r="G4" s="11">
        <f>IF(F4="","",C4*F4)</f>
        <v/>
      </c>
    </row>
    <row r="5">
      <c r="A5" s="4" t="inlineStr">
        <is>
          <t>Frame</t>
        </is>
      </c>
      <c r="B5" s="4" t="inlineStr">
        <is>
          <t>Plinth beam / lintel band / ring beam (each, running length)</t>
        </is>
      </c>
      <c r="C5" s="4" t="n">
        <v>89.8</v>
      </c>
      <c r="D5" s="4" t="inlineStr">
        <is>
          <t>m</t>
        </is>
      </c>
      <c r="E5" s="4" t="inlineStr">
        <is>
          <t>Along all walls; sizes by engineer</t>
        </is>
      </c>
      <c r="F5" s="10" t="n"/>
      <c r="G5" s="11">
        <f>IF(F5="","",C5*F5)</f>
        <v/>
      </c>
    </row>
    <row r="6">
      <c r="A6" s="4" t="inlineStr">
        <is>
          <t>Walls</t>
        </is>
      </c>
      <c r="B6" s="4" t="inlineStr">
        <is>
          <t>Internal plaster</t>
        </is>
      </c>
      <c r="C6" s="4" t="n">
        <v>286.5</v>
      </c>
      <c r="D6" s="4" t="inlineStr">
        <is>
          <t>sq m</t>
        </is>
      </c>
      <c r="E6" s="4" t="inlineStr">
        <is>
          <t>Both faces of inner walls, inner face of outer walls</t>
        </is>
      </c>
      <c r="F6" s="10" t="n"/>
      <c r="G6" s="11">
        <f>IF(F6="","",C6*F6)</f>
        <v/>
      </c>
    </row>
    <row r="7">
      <c r="A7" s="4" t="inlineStr">
        <is>
          <t>Walls</t>
        </is>
      </c>
      <c r="B7" s="4" t="inlineStr">
        <is>
          <t>External plaster (waterproof)</t>
        </is>
      </c>
      <c r="C7" s="4" t="n">
        <v>146.6</v>
      </c>
      <c r="D7" s="4" t="inlineStr">
        <is>
          <t>sq m</t>
        </is>
      </c>
      <c r="E7" s="4" t="inlineStr">
        <is>
          <t>Outer walls + plinth face</t>
        </is>
      </c>
      <c r="F7" s="10" t="n"/>
      <c r="G7" s="11">
        <f>IF(F7="","",C7*F7)</f>
        <v/>
      </c>
    </row>
    <row r="8">
      <c r="A8" s="4" t="inlineStr">
        <is>
          <t>Floors</t>
        </is>
      </c>
      <c r="B8" s="4" t="inlineStr">
        <is>
          <t>Matt vitrified 2x2</t>
        </is>
      </c>
      <c r="C8" s="4" t="n">
        <v>47.1</v>
      </c>
      <c r="D8" s="4" t="inlineStr">
        <is>
          <t>sq m</t>
        </is>
      </c>
      <c r="E8" s="4" t="inlineStr">
        <is>
          <t>Clear room areas; add 5-8% wastage</t>
        </is>
      </c>
      <c r="F8" s="10" t="n"/>
      <c r="G8" s="11">
        <f>IF(F8="","",C8*F8)</f>
        <v/>
      </c>
    </row>
    <row r="9">
      <c r="A9" s="4" t="inlineStr">
        <is>
          <t>Floors</t>
        </is>
      </c>
      <c r="B9" s="4" t="inlineStr">
        <is>
          <t>Anti-skid ceramic, waterproofed</t>
        </is>
      </c>
      <c r="C9" s="4" t="n">
        <v>10.9</v>
      </c>
      <c r="D9" s="4" t="inlineStr">
        <is>
          <t>sq m</t>
        </is>
      </c>
      <c r="E9" s="4" t="inlineStr">
        <is>
          <t>Clear room areas; add 5-8% wastage</t>
        </is>
      </c>
      <c r="F9" s="10" t="n"/>
      <c r="G9" s="11">
        <f>IF(F9="","",C9*F9)</f>
        <v/>
      </c>
    </row>
    <row r="10">
      <c r="A10" s="4" t="inlineStr">
        <is>
          <t>Floors</t>
        </is>
      </c>
      <c r="B10" s="4" t="inlineStr">
        <is>
          <t>Red oxide / Kota stone</t>
        </is>
      </c>
      <c r="C10" s="4" t="n">
        <v>38.7</v>
      </c>
      <c r="D10" s="4" t="inlineStr">
        <is>
          <t>sq m</t>
        </is>
      </c>
      <c r="E10" s="4" t="inlineStr">
        <is>
          <t>Clear room areas; add 5-8% wastage</t>
        </is>
      </c>
      <c r="F10" s="10" t="n"/>
      <c r="G10" s="11">
        <f>IF(F10="","",C10*F10)</f>
        <v/>
      </c>
    </row>
    <row r="11">
      <c r="A11" s="4" t="inlineStr">
        <is>
          <t>Floors</t>
        </is>
      </c>
      <c r="B11" s="4" t="inlineStr">
        <is>
          <t>Rough Cuddapah / Kota, falls</t>
        </is>
      </c>
      <c r="C11" s="4" t="n">
        <v>2.4</v>
      </c>
      <c r="D11" s="4" t="inlineStr">
        <is>
          <t>sq m</t>
        </is>
      </c>
      <c r="E11" s="4" t="inlineStr">
        <is>
          <t>Clear room areas; add 5-8% wastage</t>
        </is>
      </c>
      <c r="F11" s="10" t="n"/>
      <c r="G11" s="11">
        <f>IF(F11="","",C11*F11)</f>
        <v/>
      </c>
    </row>
    <row r="12">
      <c r="A12" s="4" t="inlineStr">
        <is>
          <t>Floors</t>
        </is>
      </c>
      <c r="B12" s="4" t="inlineStr">
        <is>
          <t>Anti-skid matt vitrified</t>
        </is>
      </c>
      <c r="C12" s="4" t="n">
        <v>11.5</v>
      </c>
      <c r="D12" s="4" t="inlineStr">
        <is>
          <t>sq m</t>
        </is>
      </c>
      <c r="E12" s="4" t="inlineStr">
        <is>
          <t>Clear room areas; add 5-8% wastage</t>
        </is>
      </c>
      <c r="F12" s="10" t="n"/>
      <c r="G12" s="11">
        <f>IF(F12="","",C12*F12)</f>
        <v/>
      </c>
    </row>
    <row r="13">
      <c r="A13" s="4" t="inlineStr">
        <is>
          <t>Floors</t>
        </is>
      </c>
      <c r="B13" s="4" t="inlineStr">
        <is>
          <t>Marble / teak (pooja)</t>
        </is>
      </c>
      <c r="C13" s="4" t="n">
        <v>1.1</v>
      </c>
      <c r="D13" s="4" t="inlineStr">
        <is>
          <t>sq m</t>
        </is>
      </c>
      <c r="E13" s="4" t="inlineStr">
        <is>
          <t>Clear room areas; add 5-8% wastage</t>
        </is>
      </c>
      <c r="F13" s="10" t="n"/>
      <c r="G13" s="11">
        <f>IF(F13="","",C13*F13)</f>
        <v/>
      </c>
    </row>
    <row r="14">
      <c r="A14" s="4" t="inlineStr">
        <is>
          <t>Floors</t>
        </is>
      </c>
      <c r="B14" s="4" t="inlineStr">
        <is>
          <t>Flamed granite</t>
        </is>
      </c>
      <c r="C14" s="4" t="n">
        <v>6.1</v>
      </c>
      <c r="D14" s="4" t="inlineStr">
        <is>
          <t>sq m</t>
        </is>
      </c>
      <c r="E14" s="4" t="inlineStr">
        <is>
          <t>Clear room areas; add 5-8% wastage</t>
        </is>
      </c>
      <c r="F14" s="10" t="n"/>
      <c r="G14" s="11">
        <f>IF(F14="","",C14*F14)</f>
        <v/>
      </c>
    </row>
    <row r="15">
      <c r="A15" s="4" t="inlineStr">
        <is>
          <t>Floors</t>
        </is>
      </c>
      <c r="B15" s="4" t="inlineStr">
        <is>
          <t>Flush skirting, 4 in</t>
        </is>
      </c>
      <c r="C15" s="4" t="n">
        <v>111.7</v>
      </c>
      <c r="D15" s="4" t="inlineStr">
        <is>
          <t>m</t>
        </is>
      </c>
      <c r="E15" s="4" t="inlineStr">
        <is>
          <t>Room perimeters (dry rooms), doors not deducted</t>
        </is>
      </c>
      <c r="F15" s="10" t="n"/>
      <c r="G15" s="11">
        <f>IF(F15="","",C15*F15)</f>
        <v/>
      </c>
    </row>
    <row r="16">
      <c r="A16" s="4" t="inlineStr">
        <is>
          <t>Wet rooms</t>
        </is>
      </c>
      <c r="B16" s="4" t="inlineStr">
        <is>
          <t>Wall tiles to 7 ft, Ensuite</t>
        </is>
      </c>
      <c r="C16" s="4" t="n">
        <v>15.6</v>
      </c>
      <c r="D16" s="4" t="inlineStr">
        <is>
          <t>sq m</t>
        </is>
      </c>
      <c r="E16" s="4" t="inlineStr">
        <is>
          <t>Full height in the shower adds ~2 sq m</t>
        </is>
      </c>
      <c r="F16" s="10" t="n"/>
      <c r="G16" s="11">
        <f>IF(F16="","",C16*F16)</f>
        <v/>
      </c>
    </row>
    <row r="17">
      <c r="A17" s="4" t="inlineStr">
        <is>
          <t>Wet rooms</t>
        </is>
      </c>
      <c r="B17" s="4" t="inlineStr">
        <is>
          <t>Waterproofing, Ensuite</t>
        </is>
      </c>
      <c r="C17" s="4" t="n">
        <v>9.800000000000001</v>
      </c>
      <c r="D17" s="4" t="inlineStr">
        <is>
          <t>sq m</t>
        </is>
      </c>
      <c r="E17" s="4" t="inlineStr">
        <is>
          <t>Floor + 12 in upturn + shower walls to 7 ft</t>
        </is>
      </c>
      <c r="F17" s="10" t="n"/>
      <c r="G17" s="11">
        <f>IF(F17="","",C17*F17)</f>
        <v/>
      </c>
    </row>
    <row r="18">
      <c r="A18" s="4" t="inlineStr">
        <is>
          <t>Wet rooms</t>
        </is>
      </c>
      <c r="B18" s="4" t="inlineStr">
        <is>
          <t>Wall tiles to 7 ft, Common bath</t>
        </is>
      </c>
      <c r="C18" s="4" t="n">
        <v>13.2</v>
      </c>
      <c r="D18" s="4" t="inlineStr">
        <is>
          <t>sq m</t>
        </is>
      </c>
      <c r="E18" s="4" t="inlineStr">
        <is>
          <t>Full height in the shower adds ~2 sq m</t>
        </is>
      </c>
      <c r="F18" s="10" t="n"/>
      <c r="G18" s="11">
        <f>IF(F18="","",C18*F18)</f>
        <v/>
      </c>
    </row>
    <row r="19">
      <c r="A19" s="4" t="inlineStr">
        <is>
          <t>Wet rooms</t>
        </is>
      </c>
      <c r="B19" s="4" t="inlineStr">
        <is>
          <t>Waterproofing, Common bath</t>
        </is>
      </c>
      <c r="C19" s="4" t="n">
        <v>8.5</v>
      </c>
      <c r="D19" s="4" t="inlineStr">
        <is>
          <t>sq m</t>
        </is>
      </c>
      <c r="E19" s="4" t="inlineStr">
        <is>
          <t>Floor + 12 in upturn + shower walls to 7 ft</t>
        </is>
      </c>
      <c r="F19" s="10" t="n"/>
      <c r="G19" s="11">
        <f>IF(F19="","",C19*F19)</f>
        <v/>
      </c>
    </row>
    <row r="20">
      <c r="A20" s="4" t="inlineStr">
        <is>
          <t>Wet rooms</t>
        </is>
      </c>
      <c r="B20" s="4" t="inlineStr">
        <is>
          <t>Wall tiles to 7 ft, Bath 2 (attached to Bedroom 2)</t>
        </is>
      </c>
      <c r="C20" s="4" t="n">
        <v>15.1</v>
      </c>
      <c r="D20" s="4" t="inlineStr">
        <is>
          <t>sq m</t>
        </is>
      </c>
      <c r="E20" s="4" t="inlineStr">
        <is>
          <t>Full height in the shower adds ~2 sq m</t>
        </is>
      </c>
      <c r="F20" s="10" t="n"/>
      <c r="G20" s="11">
        <f>IF(F20="","",C20*F20)</f>
        <v/>
      </c>
    </row>
    <row r="21">
      <c r="A21" s="4" t="inlineStr">
        <is>
          <t>Wet rooms</t>
        </is>
      </c>
      <c r="B21" s="4" t="inlineStr">
        <is>
          <t>Waterproofing, Bath 2 (attached to Bedroom 2)</t>
        </is>
      </c>
      <c r="C21" s="4" t="n">
        <v>9.6</v>
      </c>
      <c r="D21" s="4" t="inlineStr">
        <is>
          <t>sq m</t>
        </is>
      </c>
      <c r="E21" s="4" t="inlineStr">
        <is>
          <t>Floor + 12 in upturn + shower walls to 7 ft</t>
        </is>
      </c>
      <c r="F21" s="10" t="n"/>
      <c r="G21" s="11">
        <f>IF(F21="","",C21*F21)</f>
        <v/>
      </c>
    </row>
    <row r="22">
      <c r="A22" s="4" t="inlineStr">
        <is>
          <t>Kitchen</t>
        </is>
      </c>
      <c r="B22" s="4" t="inlineStr">
        <is>
          <t>Granite counter, 2 ft deep</t>
        </is>
      </c>
      <c r="C22" s="4" t="n">
        <v>5.4</v>
      </c>
      <c r="D22" s="4" t="inlineStr">
        <is>
          <t>m</t>
        </is>
      </c>
      <c r="E22" s="4" t="inlineStr">
        <is>
          <t>South and east runs (F34, F35)</t>
        </is>
      </c>
      <c r="F22" s="10" t="n"/>
      <c r="G22" s="11">
        <f>IF(F22="","",C22*F22)</f>
        <v/>
      </c>
    </row>
    <row r="23">
      <c r="A23" s="4" t="inlineStr">
        <is>
          <t>Kitchen</t>
        </is>
      </c>
      <c r="B23" s="4" t="inlineStr">
        <is>
          <t>Dado between counter and wall cabinets</t>
        </is>
      </c>
      <c r="C23" s="4" t="n">
        <v>3.3</v>
      </c>
      <c r="D23" s="4" t="inlineStr">
        <is>
          <t>sq m</t>
        </is>
      </c>
      <c r="E23" s="4" t="inlineStr">
        <is>
          <t>2 ft high</t>
        </is>
      </c>
      <c r="F23" s="10" t="n"/>
      <c r="G23" s="11">
        <f>IF(F23="","",C23*F23)</f>
        <v/>
      </c>
    </row>
    <row r="24">
      <c r="A24" s="4" t="inlineStr">
        <is>
          <t>Roof</t>
        </is>
      </c>
      <c r="B24" s="4" t="inlineStr">
        <is>
          <t>Sloped roof area (tiles, deck, insulation, membrane)</t>
        </is>
      </c>
      <c r="C24" s="4" t="n">
        <v>194.1</v>
      </c>
      <c r="D24" s="4" t="inlineStr">
        <is>
          <t>sq m</t>
        </is>
      </c>
      <c r="E24" s="4" t="inlineStr">
        <is>
          <t>Hip outline / cos 30 deg; add ~8% for gable and laps</t>
        </is>
      </c>
      <c r="F24" s="10" t="n"/>
      <c r="G24" s="11">
        <f>IF(F24="","",C24*F24)</f>
        <v/>
      </c>
    </row>
    <row r="25">
      <c r="A25" s="4" t="inlineStr">
        <is>
          <t>Roof</t>
        </is>
      </c>
      <c r="B25" s="4" t="inlineStr">
        <is>
          <t>Gutters</t>
        </is>
      </c>
      <c r="C25" s="4" t="n">
        <v>40.8</v>
      </c>
      <c r="D25" s="4" t="inlineStr">
        <is>
          <t>m</t>
        </is>
      </c>
      <c r="E25" s="4" t="inlineStr">
        <is>
          <t>Both long eaves</t>
        </is>
      </c>
      <c r="F25" s="10" t="n"/>
      <c r="G25" s="11">
        <f>IF(F25="","",C25*F25)</f>
        <v/>
      </c>
    </row>
    <row r="26">
      <c r="A26" s="4" t="inlineStr">
        <is>
          <t>Roof</t>
        </is>
      </c>
      <c r="B26" s="4" t="inlineStr">
        <is>
          <t>Downpipes, 100 mm</t>
        </is>
      </c>
      <c r="C26" s="4" t="n">
        <v>8</v>
      </c>
      <c r="D26" s="4" t="inlineStr">
        <is>
          <t>no.</t>
        </is>
      </c>
      <c r="E26" s="4" t="inlineStr">
        <is>
          <t>About 12 ft each</t>
        </is>
      </c>
      <c r="F26" s="10" t="n"/>
      <c r="G26" s="11">
        <f>IF(F26="","",C26*F26)</f>
        <v/>
      </c>
    </row>
    <row r="27">
      <c r="A27" s="4" t="inlineStr">
        <is>
          <t>Roof</t>
        </is>
      </c>
      <c r="B27" s="4" t="inlineStr">
        <is>
          <t>Ridge and hip tiles</t>
        </is>
      </c>
      <c r="C27" s="4" t="n">
        <v>35.5</v>
      </c>
      <c r="D27" s="4" t="inlineStr">
        <is>
          <t>m</t>
        </is>
      </c>
      <c r="E27" s="4" t="inlineStr">
        <is>
          <t>Approximate</t>
        </is>
      </c>
      <c r="F27" s="10" t="n"/>
      <c r="G27" s="11">
        <f>IF(F27="","",C27*F27)</f>
        <v/>
      </c>
    </row>
    <row r="28">
      <c r="A28" s="4" t="inlineStr">
        <is>
          <t>Site</t>
        </is>
      </c>
      <c r="B28" s="4" t="inlineStr">
        <is>
          <t>Plinth protection apron, 3 ft wide</t>
        </is>
      </c>
      <c r="C28" s="4" t="n">
        <v>51</v>
      </c>
      <c r="D28" s="4" t="inlineStr">
        <is>
          <t>sq m</t>
        </is>
      </c>
      <c r="E28" s="4" t="inlineStr">
        <is>
          <t>PCC with slope away</t>
        </is>
      </c>
      <c r="F28" s="10" t="n"/>
      <c r="G28" s="11">
        <f>IF(F28="","",C28*F28)</f>
        <v/>
      </c>
    </row>
    <row r="29">
      <c r="A29" s="4" t="inlineStr">
        <is>
          <t>Openings</t>
        </is>
      </c>
      <c r="B29" s="4" t="inlineStr">
        <is>
          <t>Doors</t>
        </is>
      </c>
      <c r="C29" s="4" t="n">
        <v>9</v>
      </c>
      <c r="D29" s="4" t="inlineStr">
        <is>
          <t>no.</t>
        </is>
      </c>
      <c r="E29" s="4" t="inlineStr">
        <is>
          <t>See Doors tab</t>
        </is>
      </c>
      <c r="F29" s="10" t="n"/>
      <c r="G29" s="11">
        <f>IF(F29="","",C29*F29)</f>
        <v/>
      </c>
    </row>
    <row r="30">
      <c r="A30" s="4" t="inlineStr">
        <is>
          <t>Openings</t>
        </is>
      </c>
      <c r="B30" s="4" t="inlineStr">
        <is>
          <t>Windows and vents</t>
        </is>
      </c>
      <c r="C30" s="4" t="n">
        <v>17</v>
      </c>
      <c r="D30" s="4" t="inlineStr">
        <is>
          <t>no.</t>
        </is>
      </c>
      <c r="E30" s="4" t="inlineStr">
        <is>
          <t>See Windows tab</t>
        </is>
      </c>
      <c r="F30" s="10" t="n"/>
      <c r="G30" s="11">
        <f>IF(F30="","",C30*F30)</f>
        <v/>
      </c>
    </row>
    <row r="31">
      <c r="A31" s="4" t="inlineStr">
        <is>
          <t>Openings</t>
        </is>
      </c>
      <c r="B31" s="4" t="inlineStr">
        <is>
          <t>Window area (for mesh and grills)</t>
        </is>
      </c>
      <c r="C31" s="4" t="n">
        <v>22.8</v>
      </c>
      <c r="D31" s="4" t="inlineStr">
        <is>
          <t>sq m</t>
        </is>
      </c>
      <c r="E31" s="4" t="inlineStr"/>
      <c r="F31" s="10" t="n"/>
      <c r="G31" s="11">
        <f>IF(F31="","",C31*F31)</f>
        <v/>
      </c>
    </row>
    <row r="32">
      <c r="A32" s="6" t="inlineStr"/>
      <c r="B32" s="6" t="inlineStr">
        <is>
          <t>Total of priced items</t>
        </is>
      </c>
      <c r="C32" s="6" t="inlineStr"/>
      <c r="D32" s="6" t="inlineStr"/>
      <c r="E32" s="6" t="inlineStr"/>
      <c r="F32" s="12" t="inlineStr"/>
      <c r="G32" s="12">
        <f>SUM(G2:G31)</f>
        <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11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4" customWidth="1" min="3" max="3"/>
    <col width="22" customWidth="1" min="4" max="4"/>
    <col width="8" customWidth="1" min="5" max="5"/>
    <col width="8" customWidth="1" min="6" max="6"/>
    <col width="40" customWidth="1" min="7" max="7"/>
  </cols>
  <sheetData>
    <row r="1" ht="30" customHeight="1">
      <c r="A1" s="3" t="inlineStr">
        <is>
          <t>Code</t>
        </is>
      </c>
      <c r="B1" s="3" t="inlineStr">
        <is>
          <t>Item</t>
        </is>
      </c>
      <c r="C1" s="3" t="inlineStr">
        <is>
          <t>Mounting height</t>
        </is>
      </c>
      <c r="D1" s="3" t="inlineStr">
        <is>
          <t>Room</t>
        </is>
      </c>
      <c r="E1" s="3" t="inlineStr">
        <is>
          <t>X (ft)</t>
        </is>
      </c>
      <c r="F1" s="3" t="inlineStr">
        <is>
          <t>Y (ft)</t>
        </is>
      </c>
      <c r="G1" s="3" t="inlineStr">
        <is>
          <t>Note</t>
        </is>
      </c>
    </row>
    <row r="2">
      <c r="A2" s="4" t="inlineStr">
        <is>
          <t>F</t>
        </is>
      </c>
      <c r="B2" s="4" t="inlineStr">
        <is>
          <t>Ceiling fan point</t>
        </is>
      </c>
      <c r="C2" s="4" t="inlineStr">
        <is>
          <t>ceiling</t>
        </is>
      </c>
      <c r="D2" s="4" t="inlineStr">
        <is>
          <t>Workstation (open, walls optional later)</t>
        </is>
      </c>
      <c r="E2" s="4" t="n">
        <v>9.5</v>
      </c>
      <c r="F2" s="4" t="n">
        <v>7</v>
      </c>
      <c r="G2" s="4" t="inlineStr"/>
    </row>
    <row r="3">
      <c r="A3" s="4" t="inlineStr">
        <is>
          <t>L</t>
        </is>
      </c>
      <c r="B3" s="4" t="inlineStr">
        <is>
          <t>Ceiling light</t>
        </is>
      </c>
      <c r="C3" s="4" t="inlineStr">
        <is>
          <t>ceiling</t>
        </is>
      </c>
      <c r="D3" s="4" t="inlineStr">
        <is>
          <t>Workstation (open, walls optional later)</t>
        </is>
      </c>
      <c r="E3" s="4" t="n">
        <v>9.5</v>
      </c>
      <c r="F3" s="4" t="n">
        <v>9.5</v>
      </c>
      <c r="G3" s="4" t="inlineStr"/>
    </row>
    <row r="4">
      <c r="A4" s="4" t="inlineStr">
        <is>
          <t>L</t>
        </is>
      </c>
      <c r="B4" s="4" t="inlineStr">
        <is>
          <t>Ceiling light</t>
        </is>
      </c>
      <c r="C4" s="4" t="inlineStr">
        <is>
          <t>ceiling</t>
        </is>
      </c>
      <c r="D4" s="4" t="inlineStr">
        <is>
          <t>Workstation (open, walls optional later)</t>
        </is>
      </c>
      <c r="E4" s="4" t="n">
        <v>9.5</v>
      </c>
      <c r="F4" s="4" t="n">
        <v>4.5</v>
      </c>
      <c r="G4" s="4" t="inlineStr"/>
    </row>
    <row r="5">
      <c r="A5" s="4" t="inlineStr">
        <is>
          <t>S</t>
        </is>
      </c>
      <c r="B5" s="4" t="inlineStr">
        <is>
          <t>Switchboard</t>
        </is>
      </c>
      <c r="C5" s="4" t="inlineStr">
        <is>
          <t>4'-0"</t>
        </is>
      </c>
      <c r="D5" s="4" t="inlineStr">
        <is>
          <t>Workstation (open, walls optional later)</t>
        </is>
      </c>
      <c r="E5" s="4" t="n">
        <v>5.4</v>
      </c>
      <c r="F5" s="4" t="n">
        <v>10.4</v>
      </c>
      <c r="G5" s="4" t="inlineStr"/>
    </row>
    <row r="6">
      <c r="A6" s="4" t="inlineStr">
        <is>
          <t>U</t>
        </is>
      </c>
      <c r="B6" s="4" t="inlineStr">
        <is>
          <t>Inverter (UPS) socket</t>
        </is>
      </c>
      <c r="C6" s="4" t="inlineStr">
        <is>
          <t>1'-0"</t>
        </is>
      </c>
      <c r="D6" s="4" t="inlineStr">
        <is>
          <t>Workstation (open, walls optional later)</t>
        </is>
      </c>
      <c r="E6" s="4" t="n">
        <v>13</v>
      </c>
      <c r="F6" s="4" t="n">
        <v>5</v>
      </c>
      <c r="G6" s="4" t="inlineStr">
        <is>
          <t>floor box under the desk</t>
        </is>
      </c>
    </row>
    <row r="7">
      <c r="A7" s="4" t="inlineStr">
        <is>
          <t>D</t>
        </is>
      </c>
      <c r="B7" s="4" t="inlineStr">
        <is>
          <t>Data point (Cat6)</t>
        </is>
      </c>
      <c r="C7" s="4" t="inlineStr">
        <is>
          <t>1'-0"</t>
        </is>
      </c>
      <c r="D7" s="4" t="inlineStr">
        <is>
          <t>Workstation (open, walls optional later)</t>
        </is>
      </c>
      <c r="E7" s="4" t="n">
        <v>13</v>
      </c>
      <c r="F7" s="4" t="n">
        <v>6</v>
      </c>
      <c r="G7" s="4" t="inlineStr">
        <is>
          <t>floor box under the desk</t>
        </is>
      </c>
    </row>
    <row r="8">
      <c r="A8" s="4" t="inlineStr">
        <is>
          <t>P</t>
        </is>
      </c>
      <c r="B8" s="4" t="inlineStr">
        <is>
          <t>6 A socket</t>
        </is>
      </c>
      <c r="C8" s="4" t="inlineStr">
        <is>
          <t>1'-0"</t>
        </is>
      </c>
      <c r="D8" s="4" t="inlineStr">
        <is>
          <t>Workstation (open, walls optional later)</t>
        </is>
      </c>
      <c r="E8" s="4" t="n">
        <v>13</v>
      </c>
      <c r="F8" s="4" t="n">
        <v>8</v>
      </c>
      <c r="G8" s="4" t="inlineStr">
        <is>
          <t>floor box under the desk</t>
        </is>
      </c>
    </row>
    <row r="9">
      <c r="A9" s="4" t="inlineStr">
        <is>
          <t>AC</t>
        </is>
      </c>
      <c r="B9" s="4" t="inlineStr">
        <is>
          <t>AC indoor unit (16 A socket, sleeve, drain)</t>
        </is>
      </c>
      <c r="C9" s="4" t="inlineStr">
        <is>
          <t>7'-6"</t>
        </is>
      </c>
      <c r="D9" s="4" t="inlineStr">
        <is>
          <t>Workstation (open, walls optional later)</t>
        </is>
      </c>
      <c r="E9" s="4" t="n">
        <v>5.6</v>
      </c>
      <c r="F9" s="4" t="n">
        <v>7</v>
      </c>
      <c r="G9" s="4" t="inlineStr">
        <is>
          <t>west wall, above the bookshelf</t>
        </is>
      </c>
    </row>
    <row r="10">
      <c r="A10" s="4" t="inlineStr">
        <is>
          <t>ODU</t>
        </is>
      </c>
      <c r="B10" s="4" t="inlineStr">
        <is>
          <t>AC outdoor unit bracket</t>
        </is>
      </c>
      <c r="C10" s="4" t="inlineStr">
        <is>
          <t>7'-0" outside</t>
        </is>
      </c>
      <c r="D10" s="4" t="inlineStr">
        <is>
          <t>Workstation (open, walls optional later)</t>
        </is>
      </c>
      <c r="E10" s="4" t="n">
        <v>4.2</v>
      </c>
      <c r="F10" s="4" t="n">
        <v>6.5</v>
      </c>
      <c r="G10" s="4" t="inlineStr">
        <is>
          <t>west wall, high</t>
        </is>
      </c>
    </row>
    <row r="11">
      <c r="A11" s="4" t="inlineStr">
        <is>
          <t>L</t>
        </is>
      </c>
      <c r="B11" s="4" t="inlineStr">
        <is>
          <t>Ceiling light</t>
        </is>
      </c>
      <c r="C11" s="4" t="inlineStr">
        <is>
          <t>ceiling</t>
        </is>
      </c>
      <c r="D11" s="4" t="inlineStr">
        <is>
          <t>Master bay (old store, open to the bedroom)</t>
        </is>
      </c>
      <c r="E11" s="4" t="n">
        <v>17.5</v>
      </c>
      <c r="F11" s="4" t="n">
        <v>7.5</v>
      </c>
      <c r="G11" s="4" t="inlineStr"/>
    </row>
    <row r="12">
      <c r="A12" s="4" t="inlineStr">
        <is>
          <t>P</t>
        </is>
      </c>
      <c r="B12" s="4" t="inlineStr">
        <is>
          <t>6 A socket</t>
        </is>
      </c>
      <c r="C12" s="4" t="inlineStr">
        <is>
          <t>1'-0"</t>
        </is>
      </c>
      <c r="D12" s="4" t="inlineStr">
        <is>
          <t>Master bay (old store, open to the bedroom)</t>
        </is>
      </c>
      <c r="E12" s="4" t="n">
        <v>14.5</v>
      </c>
      <c r="F12" s="4" t="n">
        <v>8.6</v>
      </c>
      <c r="G12" s="4" t="inlineStr"/>
    </row>
    <row r="13">
      <c r="A13" s="4" t="inlineStr">
        <is>
          <t>P</t>
        </is>
      </c>
      <c r="B13" s="4" t="inlineStr">
        <is>
          <t>6 A socket</t>
        </is>
      </c>
      <c r="C13" s="4" t="inlineStr">
        <is>
          <t>1'-0"</t>
        </is>
      </c>
      <c r="D13" s="4" t="inlineStr">
        <is>
          <t>Master bay (old store, open to the bedroom)</t>
        </is>
      </c>
      <c r="E13" s="4" t="n">
        <v>20.6</v>
      </c>
      <c r="F13" s="4" t="n">
        <v>8.6</v>
      </c>
      <c r="G13" s="4" t="inlineStr"/>
    </row>
    <row r="14">
      <c r="A14" s="4" t="inlineStr">
        <is>
          <t>L</t>
        </is>
      </c>
      <c r="B14" s="4" t="inlineStr">
        <is>
          <t>Ceiling light</t>
        </is>
      </c>
      <c r="C14" s="4" t="inlineStr">
        <is>
          <t>ceiling</t>
        </is>
      </c>
      <c r="D14" s="4" t="inlineStr">
        <is>
          <t>Dressing alcove</t>
        </is>
      </c>
      <c r="E14" s="4" t="n">
        <v>8.25</v>
      </c>
      <c r="F14" s="4" t="n">
        <v>14</v>
      </c>
      <c r="G14" s="4" t="inlineStr"/>
    </row>
    <row r="15">
      <c r="A15" s="4" t="inlineStr">
        <is>
          <t>WL</t>
        </is>
      </c>
      <c r="B15" s="4" t="inlineStr">
        <is>
          <t>Wall light / mirror light</t>
        </is>
      </c>
      <c r="C15" s="4" t="inlineStr">
        <is>
          <t>6'-6"</t>
        </is>
      </c>
      <c r="D15" s="4" t="inlineStr">
        <is>
          <t>Dressing alcove</t>
        </is>
      </c>
      <c r="E15" s="4" t="n">
        <v>5.4</v>
      </c>
      <c r="F15" s="4" t="n">
        <v>14</v>
      </c>
      <c r="G15" s="4" t="inlineStr">
        <is>
          <t>mirror</t>
        </is>
      </c>
    </row>
    <row r="16">
      <c r="A16" s="4" t="inlineStr">
        <is>
          <t>P</t>
        </is>
      </c>
      <c r="B16" s="4" t="inlineStr">
        <is>
          <t>6 A socket</t>
        </is>
      </c>
      <c r="C16" s="4" t="inlineStr">
        <is>
          <t>1'-0"</t>
        </is>
      </c>
      <c r="D16" s="4" t="inlineStr">
        <is>
          <t>Dressing alcove</t>
        </is>
      </c>
      <c r="E16" s="4" t="n">
        <v>5.4</v>
      </c>
      <c r="F16" s="4" t="n">
        <v>16.4</v>
      </c>
      <c r="G16" s="4" t="inlineStr">
        <is>
          <t>hair dryer</t>
        </is>
      </c>
    </row>
    <row r="17">
      <c r="A17" s="4" t="inlineStr">
        <is>
          <t>L</t>
        </is>
      </c>
      <c r="B17" s="4" t="inlineStr">
        <is>
          <t>Ceiling light</t>
        </is>
      </c>
      <c r="C17" s="4" t="inlineStr">
        <is>
          <t>ceiling</t>
        </is>
      </c>
      <c r="D17" s="4" t="inlineStr">
        <is>
          <t>Ensuite</t>
        </is>
      </c>
      <c r="E17" s="4" t="n">
        <v>8.25</v>
      </c>
      <c r="F17" s="4" t="n">
        <v>20.5</v>
      </c>
      <c r="G17" s="4" t="inlineStr"/>
    </row>
    <row r="18">
      <c r="A18" s="4" t="inlineStr">
        <is>
          <t>EF</t>
        </is>
      </c>
      <c r="B18" s="4" t="inlineStr">
        <is>
          <t>Exhaust fan</t>
        </is>
      </c>
      <c r="C18" s="4" t="inlineStr">
        <is>
          <t>7'-0"</t>
        </is>
      </c>
      <c r="D18" s="4" t="inlineStr">
        <is>
          <t>Ensuite</t>
        </is>
      </c>
      <c r="E18" s="4" t="n">
        <v>5.4</v>
      </c>
      <c r="F18" s="4" t="n">
        <v>24</v>
      </c>
      <c r="G18" s="4" t="inlineStr">
        <is>
          <t>out through west wall</t>
        </is>
      </c>
    </row>
    <row r="19">
      <c r="A19" s="4" t="inlineStr">
        <is>
          <t>G</t>
        </is>
      </c>
      <c r="B19" s="4" t="inlineStr">
        <is>
          <t>Geyser (16 A)</t>
        </is>
      </c>
      <c r="C19" s="4" t="inlineStr">
        <is>
          <t>6'-6"</t>
        </is>
      </c>
      <c r="D19" s="4" t="inlineStr">
        <is>
          <t>Ensuite</t>
        </is>
      </c>
      <c r="E19" s="4" t="n">
        <v>8.300000000000001</v>
      </c>
      <c r="F19" s="4" t="n">
        <v>24.6</v>
      </c>
      <c r="G19" s="4" t="inlineStr">
        <is>
          <t>over shower</t>
        </is>
      </c>
    </row>
    <row r="20">
      <c r="A20" s="4" t="inlineStr">
        <is>
          <t>PC</t>
        </is>
      </c>
      <c r="B20" s="4" t="inlineStr">
        <is>
          <t>6 A socket at counter</t>
        </is>
      </c>
      <c r="C20" s="4" t="inlineStr">
        <is>
          <t>3'-6"</t>
        </is>
      </c>
      <c r="D20" s="4" t="inlineStr">
        <is>
          <t>Ensuite</t>
        </is>
      </c>
      <c r="E20" s="4" t="n">
        <v>10.9</v>
      </c>
      <c r="F20" s="4" t="n">
        <v>18.6</v>
      </c>
      <c r="G20" s="4" t="inlineStr">
        <is>
          <t>shaver, by basin</t>
        </is>
      </c>
    </row>
    <row r="21">
      <c r="A21" s="4" t="inlineStr">
        <is>
          <t>S</t>
        </is>
      </c>
      <c r="B21" s="4" t="inlineStr">
        <is>
          <t>Switchboard</t>
        </is>
      </c>
      <c r="C21" s="4" t="inlineStr">
        <is>
          <t>4'-0"</t>
        </is>
      </c>
      <c r="D21" s="4" t="inlineStr">
        <is>
          <t>Master bedroom</t>
        </is>
      </c>
      <c r="E21" s="4" t="n">
        <v>11.9</v>
      </c>
      <c r="F21" s="4" t="n">
        <v>22</v>
      </c>
      <c r="G21" s="4" t="inlineStr">
        <is>
          <t>ensuite switches outside the door</t>
        </is>
      </c>
    </row>
    <row r="22">
      <c r="A22" s="4" t="inlineStr">
        <is>
          <t>F</t>
        </is>
      </c>
      <c r="B22" s="4" t="inlineStr">
        <is>
          <t>Ceiling fan point</t>
        </is>
      </c>
      <c r="C22" s="4" t="inlineStr">
        <is>
          <t>ceiling</t>
        </is>
      </c>
      <c r="D22" s="4" t="inlineStr">
        <is>
          <t>Master bedroom</t>
        </is>
      </c>
      <c r="E22" s="4" t="n">
        <v>17.4</v>
      </c>
      <c r="F22" s="4" t="n">
        <v>14.7</v>
      </c>
      <c r="G22" s="4" t="inlineStr">
        <is>
          <t>over the bed</t>
        </is>
      </c>
    </row>
    <row r="23">
      <c r="A23" s="4" t="inlineStr">
        <is>
          <t>L</t>
        </is>
      </c>
      <c r="B23" s="4" t="inlineStr">
        <is>
          <t>Ceiling light</t>
        </is>
      </c>
      <c r="C23" s="4" t="inlineStr">
        <is>
          <t>ceiling</t>
        </is>
      </c>
      <c r="D23" s="4" t="inlineStr">
        <is>
          <t>Master bedroom</t>
        </is>
      </c>
      <c r="E23" s="4" t="n">
        <v>18</v>
      </c>
      <c r="F23" s="4" t="n">
        <v>23.5</v>
      </c>
      <c r="G23" s="4" t="inlineStr"/>
    </row>
    <row r="24">
      <c r="A24" s="4" t="inlineStr">
        <is>
          <t>L</t>
        </is>
      </c>
      <c r="B24" s="4" t="inlineStr">
        <is>
          <t>Ceiling light</t>
        </is>
      </c>
      <c r="C24" s="4" t="inlineStr">
        <is>
          <t>ceiling</t>
        </is>
      </c>
      <c r="D24" s="4" t="inlineStr">
        <is>
          <t>Master bedroom</t>
        </is>
      </c>
      <c r="E24" s="4" t="n">
        <v>13</v>
      </c>
      <c r="F24" s="4" t="n">
        <v>13.5</v>
      </c>
      <c r="G24" s="4" t="inlineStr"/>
    </row>
    <row r="25">
      <c r="A25" s="4" t="inlineStr">
        <is>
          <t>L</t>
        </is>
      </c>
      <c r="B25" s="4" t="inlineStr">
        <is>
          <t>Ceiling light</t>
        </is>
      </c>
      <c r="C25" s="4" t="inlineStr">
        <is>
          <t>ceiling</t>
        </is>
      </c>
      <c r="D25" s="4" t="inlineStr">
        <is>
          <t>Master bedroom</t>
        </is>
      </c>
      <c r="E25" s="4" t="n">
        <v>13</v>
      </c>
      <c r="F25" s="4" t="n">
        <v>23.5</v>
      </c>
      <c r="G25" s="4" t="inlineStr"/>
    </row>
    <row r="26">
      <c r="A26" s="4" t="inlineStr">
        <is>
          <t>S</t>
        </is>
      </c>
      <c r="B26" s="4" t="inlineStr">
        <is>
          <t>Switchboard</t>
        </is>
      </c>
      <c r="C26" s="4" t="inlineStr">
        <is>
          <t>4'-0"</t>
        </is>
      </c>
      <c r="D26" s="4" t="inlineStr">
        <is>
          <t>Master bay (old store, open to the bedroom)</t>
        </is>
      </c>
      <c r="E26" s="4" t="n">
        <v>20.6</v>
      </c>
      <c r="F26" s="4" t="n">
        <v>9.4</v>
      </c>
      <c r="G26" s="4" t="inlineStr">
        <is>
          <t>at the suite door, 2-way</t>
        </is>
      </c>
    </row>
    <row r="27">
      <c r="A27" s="4" t="inlineStr">
        <is>
          <t>S</t>
        </is>
      </c>
      <c r="B27" s="4" t="inlineStr">
        <is>
          <t>Switchboard</t>
        </is>
      </c>
      <c r="C27" s="4" t="inlineStr">
        <is>
          <t>4'-0"</t>
        </is>
      </c>
      <c r="D27" s="4" t="inlineStr">
        <is>
          <t>Master bedroom</t>
        </is>
      </c>
      <c r="E27" s="4" t="n">
        <v>20.6</v>
      </c>
      <c r="F27" s="4" t="n">
        <v>18</v>
      </c>
      <c r="G27" s="4" t="inlineStr">
        <is>
          <t>bedside, 2-way</t>
        </is>
      </c>
    </row>
    <row r="28">
      <c r="A28" s="4" t="inlineStr">
        <is>
          <t>P</t>
        </is>
      </c>
      <c r="B28" s="4" t="inlineStr">
        <is>
          <t>6 A socket</t>
        </is>
      </c>
      <c r="C28" s="4" t="inlineStr">
        <is>
          <t>1'-0"</t>
        </is>
      </c>
      <c r="D28" s="4" t="inlineStr">
        <is>
          <t>Master bedroom</t>
        </is>
      </c>
      <c r="E28" s="4" t="n">
        <v>20.6</v>
      </c>
      <c r="F28" s="4" t="n">
        <v>11.6</v>
      </c>
      <c r="G28" s="4" t="inlineStr">
        <is>
          <t>bedside</t>
        </is>
      </c>
    </row>
    <row r="29">
      <c r="A29" s="4" t="inlineStr">
        <is>
          <t>P</t>
        </is>
      </c>
      <c r="B29" s="4" t="inlineStr">
        <is>
          <t>6 A socket</t>
        </is>
      </c>
      <c r="C29" s="4" t="inlineStr">
        <is>
          <t>1'-0"</t>
        </is>
      </c>
      <c r="D29" s="4" t="inlineStr">
        <is>
          <t>Master bedroom</t>
        </is>
      </c>
      <c r="E29" s="4" t="n">
        <v>20.6</v>
      </c>
      <c r="F29" s="4" t="n">
        <v>17.6</v>
      </c>
      <c r="G29" s="4" t="inlineStr">
        <is>
          <t>bedside</t>
        </is>
      </c>
    </row>
    <row r="30">
      <c r="A30" s="4" t="inlineStr">
        <is>
          <t>AC</t>
        </is>
      </c>
      <c r="B30" s="4" t="inlineStr">
        <is>
          <t>AC indoor unit (16 A socket, sleeve, drain)</t>
        </is>
      </c>
      <c r="C30" s="4" t="inlineStr">
        <is>
          <t>7'-6"</t>
        </is>
      </c>
      <c r="D30" s="4" t="inlineStr">
        <is>
          <t>Master bedroom</t>
        </is>
      </c>
      <c r="E30" s="4" t="n">
        <v>11.9</v>
      </c>
      <c r="F30" s="4" t="n">
        <v>18</v>
      </c>
      <c r="G30" s="4" t="inlineStr">
        <is>
          <t>west wall, throws along the bed, not on the head</t>
        </is>
      </c>
    </row>
    <row r="31">
      <c r="A31" s="4" t="inlineStr">
        <is>
          <t>ODU</t>
        </is>
      </c>
      <c r="B31" s="4" t="inlineStr">
        <is>
          <t>AC outdoor unit bracket</t>
        </is>
      </c>
      <c r="C31" s="4" t="inlineStr">
        <is>
          <t>7'-0" outside</t>
        </is>
      </c>
      <c r="D31" s="4" t="inlineStr">
        <is>
          <t>Master bedroom</t>
        </is>
      </c>
      <c r="E31" s="4" t="n">
        <v>16</v>
      </c>
      <c r="F31" s="4" t="n">
        <v>25.6</v>
      </c>
      <c r="G31" s="4" t="inlineStr">
        <is>
          <t>north wall, shaded</t>
        </is>
      </c>
    </row>
    <row r="32">
      <c r="A32" s="4" t="inlineStr">
        <is>
          <t>L</t>
        </is>
      </c>
      <c r="B32" s="4" t="inlineStr">
        <is>
          <t>Ceiling light</t>
        </is>
      </c>
      <c r="C32" s="4" t="inlineStr">
        <is>
          <t>ceiling</t>
        </is>
      </c>
      <c r="D32" s="4" t="inlineStr">
        <is>
          <t>Bath 2 (attached to Bedroom 2)</t>
        </is>
      </c>
      <c r="E32" s="4" t="n">
        <v>24.5</v>
      </c>
      <c r="F32" s="4" t="n">
        <v>21.2</v>
      </c>
      <c r="G32" s="4" t="inlineStr"/>
    </row>
    <row r="33">
      <c r="A33" s="4" t="inlineStr">
        <is>
          <t>EF</t>
        </is>
      </c>
      <c r="B33" s="4" t="inlineStr">
        <is>
          <t>Exhaust fan</t>
        </is>
      </c>
      <c r="C33" s="4" t="inlineStr">
        <is>
          <t>7'-0"</t>
        </is>
      </c>
      <c r="D33" s="4" t="inlineStr">
        <is>
          <t>Bath 2 (attached to Bedroom 2)</t>
        </is>
      </c>
      <c r="E33" s="4" t="n">
        <v>25.6</v>
      </c>
      <c r="F33" s="4" t="n">
        <v>24.6</v>
      </c>
      <c r="G33" s="4" t="inlineStr">
        <is>
          <t>out through the north wall</t>
        </is>
      </c>
    </row>
    <row r="34">
      <c r="A34" s="4" t="inlineStr">
        <is>
          <t>G</t>
        </is>
      </c>
      <c r="B34" s="4" t="inlineStr">
        <is>
          <t>Geyser (16 A)</t>
        </is>
      </c>
      <c r="C34" s="4" t="inlineStr">
        <is>
          <t>6'-6"</t>
        </is>
      </c>
      <c r="D34" s="4" t="inlineStr">
        <is>
          <t>Bath 2 (attached to Bedroom 2)</t>
        </is>
      </c>
      <c r="E34" s="4" t="n">
        <v>27.6</v>
      </c>
      <c r="F34" s="4" t="n">
        <v>23.6</v>
      </c>
      <c r="G34" s="4" t="inlineStr">
        <is>
          <t>over shower, east wall</t>
        </is>
      </c>
    </row>
    <row r="35">
      <c r="A35" s="4" t="inlineStr">
        <is>
          <t>PC</t>
        </is>
      </c>
      <c r="B35" s="4" t="inlineStr">
        <is>
          <t>6 A socket at counter</t>
        </is>
      </c>
      <c r="C35" s="4" t="inlineStr">
        <is>
          <t>3'-6"</t>
        </is>
      </c>
      <c r="D35" s="4" t="inlineStr">
        <is>
          <t>Bath 2 (attached to Bedroom 2)</t>
        </is>
      </c>
      <c r="E35" s="4" t="n">
        <v>23.4</v>
      </c>
      <c r="F35" s="4" t="n">
        <v>18.4</v>
      </c>
      <c r="G35" s="4" t="inlineStr">
        <is>
          <t>by basin</t>
        </is>
      </c>
    </row>
    <row r="36">
      <c r="A36" s="4" t="inlineStr">
        <is>
          <t>S</t>
        </is>
      </c>
      <c r="B36" s="4" t="inlineStr">
        <is>
          <t>Switchboard</t>
        </is>
      </c>
      <c r="C36" s="4" t="inlineStr">
        <is>
          <t>4'-0"</t>
        </is>
      </c>
      <c r="D36" s="4" t="inlineStr">
        <is>
          <t>Bedroom 2</t>
        </is>
      </c>
      <c r="E36" s="4" t="n">
        <v>28.4</v>
      </c>
      <c r="F36" s="4" t="n">
        <v>21.3</v>
      </c>
      <c r="G36" s="4" t="inlineStr">
        <is>
          <t>Bath 2 switches outside the bath door</t>
        </is>
      </c>
    </row>
    <row r="37">
      <c r="A37" s="4" t="inlineStr">
        <is>
          <t>P</t>
        </is>
      </c>
      <c r="B37" s="4" t="inlineStr">
        <is>
          <t>6 A socket</t>
        </is>
      </c>
      <c r="C37" s="4" t="inlineStr">
        <is>
          <t>1'-0"</t>
        </is>
      </c>
      <c r="D37" s="4" t="inlineStr">
        <is>
          <t>Master bedroom</t>
        </is>
      </c>
      <c r="E37" s="4" t="n">
        <v>12.2</v>
      </c>
      <c r="F37" s="4" t="n">
        <v>24.6</v>
      </c>
      <c r="G37" s="4" t="inlineStr">
        <is>
          <t>reading chair</t>
        </is>
      </c>
    </row>
    <row r="38">
      <c r="A38" s="4" t="inlineStr">
        <is>
          <t>L</t>
        </is>
      </c>
      <c r="B38" s="4" t="inlineStr">
        <is>
          <t>Ceiling light</t>
        </is>
      </c>
      <c r="C38" s="4" t="inlineStr">
        <is>
          <t>ceiling</t>
        </is>
      </c>
      <c r="D38" s="4" t="inlineStr">
        <is>
          <t>Pooja</t>
        </is>
      </c>
      <c r="E38" s="4" t="n">
        <v>59</v>
      </c>
      <c r="F38" s="4" t="n">
        <v>15</v>
      </c>
      <c r="G38" s="4" t="inlineStr"/>
    </row>
    <row r="39">
      <c r="A39" s="4" t="inlineStr">
        <is>
          <t>WL</t>
        </is>
      </c>
      <c r="B39" s="4" t="inlineStr">
        <is>
          <t>Wall light / mirror light</t>
        </is>
      </c>
      <c r="C39" s="4" t="inlineStr">
        <is>
          <t>6'-6"</t>
        </is>
      </c>
      <c r="D39" s="4" t="inlineStr">
        <is>
          <t>Pooja</t>
        </is>
      </c>
      <c r="E39" s="4" t="n">
        <v>60.4</v>
      </c>
      <c r="F39" s="4" t="n">
        <v>15</v>
      </c>
      <c r="G39" s="4" t="inlineStr">
        <is>
          <t>lamp niche above the idols</t>
        </is>
      </c>
    </row>
    <row r="40">
      <c r="A40" s="4" t="inlineStr">
        <is>
          <t>P</t>
        </is>
      </c>
      <c r="B40" s="4" t="inlineStr">
        <is>
          <t>6 A socket</t>
        </is>
      </c>
      <c r="C40" s="4" t="inlineStr">
        <is>
          <t>1'-0"</t>
        </is>
      </c>
      <c r="D40" s="4" t="inlineStr">
        <is>
          <t>Pooja</t>
        </is>
      </c>
      <c r="E40" s="4" t="n">
        <v>57.4</v>
      </c>
      <c r="F40" s="4" t="n">
        <v>16.6</v>
      </c>
      <c r="G40" s="4" t="inlineStr"/>
    </row>
    <row r="41">
      <c r="A41" s="4" t="inlineStr">
        <is>
          <t>S</t>
        </is>
      </c>
      <c r="B41" s="4" t="inlineStr">
        <is>
          <t>Switchboard</t>
        </is>
      </c>
      <c r="C41" s="4" t="inlineStr">
        <is>
          <t>4'-0"</t>
        </is>
      </c>
      <c r="D41" s="4" t="inlineStr">
        <is>
          <t>Living</t>
        </is>
      </c>
      <c r="E41" s="4" t="n">
        <v>56.6</v>
      </c>
      <c r="F41" s="4" t="n">
        <v>16.9</v>
      </c>
      <c r="G41" s="4" t="inlineStr">
        <is>
          <t>pooja switches outside, living side</t>
        </is>
      </c>
    </row>
    <row r="42">
      <c r="A42" s="4" t="inlineStr">
        <is>
          <t>L</t>
        </is>
      </c>
      <c r="B42" s="4" t="inlineStr">
        <is>
          <t>Ceiling light</t>
        </is>
      </c>
      <c r="C42" s="4" t="inlineStr">
        <is>
          <t>ceiling</t>
        </is>
      </c>
      <c r="D42" s="4" t="inlineStr">
        <is>
          <t>Sitting and serving area (open)</t>
        </is>
      </c>
      <c r="E42" s="4" t="n">
        <v>39</v>
      </c>
      <c r="F42" s="4" t="n">
        <v>6.5</v>
      </c>
      <c r="G42" s="4" t="inlineStr"/>
    </row>
    <row r="43">
      <c r="A43" s="4" t="inlineStr">
        <is>
          <t>PC</t>
        </is>
      </c>
      <c r="B43" s="4" t="inlineStr">
        <is>
          <t>6 A socket at counter</t>
        </is>
      </c>
      <c r="C43" s="4" t="inlineStr">
        <is>
          <t>3'-6"</t>
        </is>
      </c>
      <c r="D43" s="4" t="inlineStr">
        <is>
          <t>Sitting and serving area (open)</t>
        </is>
      </c>
      <c r="E43" s="4" t="n">
        <v>35.15</v>
      </c>
      <c r="F43" s="4" t="n">
        <v>3.4</v>
      </c>
      <c r="G43" s="4" t="inlineStr">
        <is>
          <t>serving counter</t>
        </is>
      </c>
    </row>
    <row r="44">
      <c r="A44" s="4" t="inlineStr">
        <is>
          <t>PC</t>
        </is>
      </c>
      <c r="B44" s="4" t="inlineStr">
        <is>
          <t>6 A socket at counter</t>
        </is>
      </c>
      <c r="C44" s="4" t="inlineStr">
        <is>
          <t>3'-6"</t>
        </is>
      </c>
      <c r="D44" s="4" t="inlineStr">
        <is>
          <t>Sitting and serving area (open)</t>
        </is>
      </c>
      <c r="E44" s="4" t="n">
        <v>38.1</v>
      </c>
      <c r="F44" s="4" t="n">
        <v>3.4</v>
      </c>
      <c r="G44" s="4" t="inlineStr">
        <is>
          <t>serving counter</t>
        </is>
      </c>
    </row>
    <row r="45">
      <c r="A45" s="4" t="inlineStr">
        <is>
          <t>L</t>
        </is>
      </c>
      <c r="B45" s="4" t="inlineStr">
        <is>
          <t>Ceiling light</t>
        </is>
      </c>
      <c r="C45" s="4" t="inlineStr">
        <is>
          <t>ceiling</t>
        </is>
      </c>
      <c r="D45" s="4" t="inlineStr">
        <is>
          <t>Common bath</t>
        </is>
      </c>
      <c r="E45" s="4" t="n">
        <v>44.7</v>
      </c>
      <c r="F45" s="4" t="n">
        <v>6.2</v>
      </c>
      <c r="G45" s="4" t="inlineStr"/>
    </row>
    <row r="46">
      <c r="A46" s="4" t="inlineStr">
        <is>
          <t>EF</t>
        </is>
      </c>
      <c r="B46" s="4" t="inlineStr">
        <is>
          <t>Exhaust fan</t>
        </is>
      </c>
      <c r="C46" s="4" t="inlineStr">
        <is>
          <t>7'-0"</t>
        </is>
      </c>
      <c r="D46" s="4" t="inlineStr">
        <is>
          <t>Common bath</t>
        </is>
      </c>
      <c r="E46" s="4" t="n">
        <v>46.9</v>
      </c>
      <c r="F46" s="4" t="n">
        <v>3.4</v>
      </c>
      <c r="G46" s="4" t="inlineStr">
        <is>
          <t>out through the south wall</t>
        </is>
      </c>
    </row>
    <row r="47">
      <c r="A47" s="4" t="inlineStr">
        <is>
          <t>G</t>
        </is>
      </c>
      <c r="B47" s="4" t="inlineStr">
        <is>
          <t>Geyser (16 A)</t>
        </is>
      </c>
      <c r="C47" s="4" t="inlineStr">
        <is>
          <t>6'-6"</t>
        </is>
      </c>
      <c r="D47" s="4" t="inlineStr">
        <is>
          <t>Common bath</t>
        </is>
      </c>
      <c r="E47" s="4" t="n">
        <v>41.8</v>
      </c>
      <c r="F47" s="4" t="n">
        <v>4.5</v>
      </c>
      <c r="G47" s="4" t="inlineStr">
        <is>
          <t>over shower, west wall (clear of the window)</t>
        </is>
      </c>
    </row>
    <row r="48">
      <c r="A48" s="4" t="inlineStr">
        <is>
          <t>PC</t>
        </is>
      </c>
      <c r="B48" s="4" t="inlineStr">
        <is>
          <t>6 A socket at counter</t>
        </is>
      </c>
      <c r="C48" s="4" t="inlineStr">
        <is>
          <t>3'-6"</t>
        </is>
      </c>
      <c r="D48" s="4" t="inlineStr">
        <is>
          <t>Common bath</t>
        </is>
      </c>
      <c r="E48" s="4" t="n">
        <v>47.6</v>
      </c>
      <c r="F48" s="4" t="n">
        <v>6</v>
      </c>
      <c r="G48" s="4" t="inlineStr">
        <is>
          <t>by basin</t>
        </is>
      </c>
    </row>
    <row r="49">
      <c r="A49" s="4" t="inlineStr">
        <is>
          <t>S</t>
        </is>
      </c>
      <c r="B49" s="4" t="inlineStr">
        <is>
          <t>Switchboard</t>
        </is>
      </c>
      <c r="C49" s="4" t="inlineStr">
        <is>
          <t>4'-0"</t>
        </is>
      </c>
      <c r="D49" s="4" t="inlineStr">
        <is>
          <t>Sitting and serving area (open)</t>
        </is>
      </c>
      <c r="E49" s="4" t="n">
        <v>41.1</v>
      </c>
      <c r="F49" s="4" t="n">
        <v>9.199999999999999</v>
      </c>
      <c r="G49" s="4" t="inlineStr">
        <is>
          <t>common bath switches outside the door</t>
        </is>
      </c>
    </row>
    <row r="50">
      <c r="A50" s="4" t="inlineStr">
        <is>
          <t>F</t>
        </is>
      </c>
      <c r="B50" s="4" t="inlineStr">
        <is>
          <t>Ceiling fan point</t>
        </is>
      </c>
      <c r="C50" s="4" t="inlineStr">
        <is>
          <t>ceiling</t>
        </is>
      </c>
      <c r="D50" s="4" t="inlineStr">
        <is>
          <t>Bedroom 2</t>
        </is>
      </c>
      <c r="E50" s="4" t="n">
        <v>34.6</v>
      </c>
      <c r="F50" s="4" t="n">
        <v>16.5</v>
      </c>
      <c r="G50" s="4" t="inlineStr">
        <is>
          <t>over the bed</t>
        </is>
      </c>
    </row>
    <row r="51">
      <c r="A51" s="4" t="inlineStr">
        <is>
          <t>WL</t>
        </is>
      </c>
      <c r="B51" s="4" t="inlineStr">
        <is>
          <t>Wall light / mirror light</t>
        </is>
      </c>
      <c r="C51" s="4" t="inlineStr">
        <is>
          <t>6'-6"</t>
        </is>
      </c>
      <c r="D51" s="4" t="inlineStr">
        <is>
          <t>Bedroom 2</t>
        </is>
      </c>
      <c r="E51" s="4" t="n">
        <v>37.6</v>
      </c>
      <c r="F51" s="4" t="n">
        <v>16.5</v>
      </c>
      <c r="G51" s="4" t="inlineStr">
        <is>
          <t>reading light over the bed head</t>
        </is>
      </c>
    </row>
    <row r="52">
      <c r="A52" s="4" t="inlineStr">
        <is>
          <t>L</t>
        </is>
      </c>
      <c r="B52" s="4" t="inlineStr">
        <is>
          <t>Ceiling light</t>
        </is>
      </c>
      <c r="C52" s="4" t="inlineStr">
        <is>
          <t>ceiling</t>
        </is>
      </c>
      <c r="D52" s="4" t="inlineStr">
        <is>
          <t>Bedroom 2</t>
        </is>
      </c>
      <c r="E52" s="4" t="n">
        <v>24</v>
      </c>
      <c r="F52" s="4" t="n">
        <v>14</v>
      </c>
      <c r="G52" s="4" t="inlineStr"/>
    </row>
    <row r="53">
      <c r="A53" s="4" t="inlineStr">
        <is>
          <t>L</t>
        </is>
      </c>
      <c r="B53" s="4" t="inlineStr">
        <is>
          <t>Ceiling light</t>
        </is>
      </c>
      <c r="C53" s="4" t="inlineStr">
        <is>
          <t>ceiling</t>
        </is>
      </c>
      <c r="D53" s="4" t="inlineStr">
        <is>
          <t>Bedroom 2</t>
        </is>
      </c>
      <c r="E53" s="4" t="n">
        <v>34</v>
      </c>
      <c r="F53" s="4" t="n">
        <v>14</v>
      </c>
      <c r="G53" s="4" t="inlineStr"/>
    </row>
    <row r="54">
      <c r="A54" s="4" t="inlineStr">
        <is>
          <t>L</t>
        </is>
      </c>
      <c r="B54" s="4" t="inlineStr">
        <is>
          <t>Ceiling light</t>
        </is>
      </c>
      <c r="C54" s="4" t="inlineStr">
        <is>
          <t>ceiling</t>
        </is>
      </c>
      <c r="D54" s="4" t="inlineStr">
        <is>
          <t>Bedroom 2</t>
        </is>
      </c>
      <c r="E54" s="4" t="n">
        <v>33</v>
      </c>
      <c r="F54" s="4" t="n">
        <v>20.5</v>
      </c>
      <c r="G54" s="4" t="inlineStr"/>
    </row>
    <row r="55">
      <c r="A55" s="4" t="inlineStr">
        <is>
          <t>S</t>
        </is>
      </c>
      <c r="B55" s="4" t="inlineStr">
        <is>
          <t>Switchboard</t>
        </is>
      </c>
      <c r="C55" s="4" t="inlineStr">
        <is>
          <t>4'-0"</t>
        </is>
      </c>
      <c r="D55" s="4" t="inlineStr">
        <is>
          <t>Bedroom 2</t>
        </is>
      </c>
      <c r="E55" s="4" t="n">
        <v>36.8</v>
      </c>
      <c r="F55" s="4" t="n">
        <v>11.4</v>
      </c>
      <c r="G55" s="4" t="inlineStr">
        <is>
          <t>at the door (latch side, on the corner return), 2-way</t>
        </is>
      </c>
    </row>
    <row r="56">
      <c r="A56" s="4" t="inlineStr">
        <is>
          <t>S</t>
        </is>
      </c>
      <c r="B56" s="4" t="inlineStr">
        <is>
          <t>Switchboard</t>
        </is>
      </c>
      <c r="C56" s="4" t="inlineStr">
        <is>
          <t>4'-0"</t>
        </is>
      </c>
      <c r="D56" s="4" t="inlineStr">
        <is>
          <t>Bedroom 2</t>
        </is>
      </c>
      <c r="E56" s="4" t="n">
        <v>37.6</v>
      </c>
      <c r="F56" s="4" t="n">
        <v>13</v>
      </c>
      <c r="G56" s="4" t="inlineStr">
        <is>
          <t>bedside, 2-way</t>
        </is>
      </c>
    </row>
    <row r="57">
      <c r="A57" s="4" t="inlineStr">
        <is>
          <t>P</t>
        </is>
      </c>
      <c r="B57" s="4" t="inlineStr">
        <is>
          <t>6 A socket</t>
        </is>
      </c>
      <c r="C57" s="4" t="inlineStr">
        <is>
          <t>1'-0"</t>
        </is>
      </c>
      <c r="D57" s="4" t="inlineStr">
        <is>
          <t>Bedroom 2</t>
        </is>
      </c>
      <c r="E57" s="4" t="n">
        <v>37.6</v>
      </c>
      <c r="F57" s="4" t="n">
        <v>13.5</v>
      </c>
      <c r="G57" s="4" t="inlineStr">
        <is>
          <t>bedside</t>
        </is>
      </c>
    </row>
    <row r="58">
      <c r="A58" s="4" t="inlineStr">
        <is>
          <t>P</t>
        </is>
      </c>
      <c r="B58" s="4" t="inlineStr">
        <is>
          <t>6 A socket</t>
        </is>
      </c>
      <c r="C58" s="4" t="inlineStr">
        <is>
          <t>1'-0"</t>
        </is>
      </c>
      <c r="D58" s="4" t="inlineStr">
        <is>
          <t>Bedroom 2</t>
        </is>
      </c>
      <c r="E58" s="4" t="n">
        <v>37.6</v>
      </c>
      <c r="F58" s="4" t="n">
        <v>19.5</v>
      </c>
      <c r="G58" s="4" t="inlineStr">
        <is>
          <t>bedside</t>
        </is>
      </c>
    </row>
    <row r="59">
      <c r="A59" s="4" t="inlineStr">
        <is>
          <t>S</t>
        </is>
      </c>
      <c r="B59" s="4" t="inlineStr">
        <is>
          <t>Switchboard</t>
        </is>
      </c>
      <c r="C59" s="4" t="inlineStr">
        <is>
          <t>4'-0"</t>
        </is>
      </c>
      <c r="D59" s="4" t="inlineStr">
        <is>
          <t>Bedroom 2</t>
        </is>
      </c>
      <c r="E59" s="4" t="n">
        <v>37.6</v>
      </c>
      <c r="F59" s="4" t="n">
        <v>19.9</v>
      </c>
      <c r="G59" s="4" t="inlineStr">
        <is>
          <t>bedside, 2-way</t>
        </is>
      </c>
    </row>
    <row r="60">
      <c r="A60" s="4" t="inlineStr">
        <is>
          <t>P</t>
        </is>
      </c>
      <c r="B60" s="4" t="inlineStr">
        <is>
          <t>6 A socket</t>
        </is>
      </c>
      <c r="C60" s="4" t="inlineStr">
        <is>
          <t>1'-0"</t>
        </is>
      </c>
      <c r="D60" s="4" t="inlineStr">
        <is>
          <t>Bedroom 2</t>
        </is>
      </c>
      <c r="E60" s="4" t="n">
        <v>37.6</v>
      </c>
      <c r="F60" s="4" t="n">
        <v>20.8</v>
      </c>
      <c r="G60" s="4" t="inlineStr">
        <is>
          <t>work table</t>
        </is>
      </c>
    </row>
    <row r="61">
      <c r="A61" s="4" t="inlineStr">
        <is>
          <t>U</t>
        </is>
      </c>
      <c r="B61" s="4" t="inlineStr">
        <is>
          <t>Inverter (UPS) socket</t>
        </is>
      </c>
      <c r="C61" s="4" t="inlineStr">
        <is>
          <t>1'-0"</t>
        </is>
      </c>
      <c r="D61" s="4" t="inlineStr">
        <is>
          <t>Bedroom 2</t>
        </is>
      </c>
      <c r="E61" s="4" t="n">
        <v>37.6</v>
      </c>
      <c r="F61" s="4" t="n">
        <v>21.6</v>
      </c>
      <c r="G61" s="4" t="inlineStr">
        <is>
          <t>work table, monitor</t>
        </is>
      </c>
    </row>
    <row r="62">
      <c r="A62" s="4" t="inlineStr">
        <is>
          <t>D</t>
        </is>
      </c>
      <c r="B62" s="4" t="inlineStr">
        <is>
          <t>Data point (Cat6)</t>
        </is>
      </c>
      <c r="C62" s="4" t="inlineStr">
        <is>
          <t>1'-0"</t>
        </is>
      </c>
      <c r="D62" s="4" t="inlineStr">
        <is>
          <t>Bedroom 2</t>
        </is>
      </c>
      <c r="E62" s="4" t="n">
        <v>37.6</v>
      </c>
      <c r="F62" s="4" t="n">
        <v>22.4</v>
      </c>
      <c r="G62" s="4" t="inlineStr">
        <is>
          <t>work table</t>
        </is>
      </c>
    </row>
    <row r="63">
      <c r="A63" s="4" t="inlineStr">
        <is>
          <t>U</t>
        </is>
      </c>
      <c r="B63" s="4" t="inlineStr">
        <is>
          <t>Inverter (UPS) socket</t>
        </is>
      </c>
      <c r="C63" s="4" t="inlineStr">
        <is>
          <t>1'-0"</t>
        </is>
      </c>
      <c r="D63" s="4" t="inlineStr">
        <is>
          <t>Bedroom 2</t>
        </is>
      </c>
      <c r="E63" s="4" t="n">
        <v>37.6</v>
      </c>
      <c r="F63" s="4" t="n">
        <v>23.2</v>
      </c>
      <c r="G63" s="4" t="inlineStr">
        <is>
          <t>work table</t>
        </is>
      </c>
    </row>
    <row r="64">
      <c r="A64" s="4" t="inlineStr">
        <is>
          <t>AC</t>
        </is>
      </c>
      <c r="B64" s="4" t="inlineStr">
        <is>
          <t>AC indoor unit (16 A socket, sleeve, drain)</t>
        </is>
      </c>
      <c r="C64" s="4" t="inlineStr">
        <is>
          <t>7'-6"</t>
        </is>
      </c>
      <c r="D64" s="4" t="inlineStr">
        <is>
          <t>Bedroom 2</t>
        </is>
      </c>
      <c r="E64" s="4" t="n">
        <v>28.4</v>
      </c>
      <c r="F64" s="4" t="n">
        <v>24</v>
      </c>
      <c r="G64" s="4" t="inlineStr">
        <is>
          <t>high on the bath's east wall near the north corner, throws east toward the bed foot</t>
        </is>
      </c>
    </row>
    <row r="65">
      <c r="A65" s="4" t="inlineStr">
        <is>
          <t>WL</t>
        </is>
      </c>
      <c r="B65" s="4" t="inlineStr">
        <is>
          <t>Wall light / mirror light</t>
        </is>
      </c>
      <c r="C65" s="4" t="inlineStr">
        <is>
          <t>6'-6"</t>
        </is>
      </c>
      <c r="D65" s="4" t="inlineStr">
        <is>
          <t>Sitting and serving area (open)</t>
        </is>
      </c>
      <c r="E65" s="4" t="n">
        <v>41.1</v>
      </c>
      <c r="F65" s="4" t="n">
        <v>4.4</v>
      </c>
      <c r="G65" s="4" t="inlineStr">
        <is>
          <t>over basin, on the common bath wall</t>
        </is>
      </c>
    </row>
    <row r="66">
      <c r="A66" s="4" t="inlineStr">
        <is>
          <t>ODU</t>
        </is>
      </c>
      <c r="B66" s="4" t="inlineStr">
        <is>
          <t>AC outdoor unit bracket</t>
        </is>
      </c>
      <c r="C66" s="4" t="inlineStr">
        <is>
          <t>7'-0" outside</t>
        </is>
      </c>
      <c r="D66" s="4" t="inlineStr">
        <is>
          <t>Bedroom 2</t>
        </is>
      </c>
      <c r="E66" s="4" t="n">
        <v>29.5</v>
      </c>
      <c r="F66" s="4" t="n">
        <v>25.6</v>
      </c>
      <c r="G66" s="4" t="inlineStr">
        <is>
          <t>north wall, shaded</t>
        </is>
      </c>
    </row>
    <row r="67">
      <c r="A67" s="4" t="inlineStr">
        <is>
          <t>L</t>
        </is>
      </c>
      <c r="B67" s="4" t="inlineStr">
        <is>
          <t>Ceiling light</t>
        </is>
      </c>
      <c r="C67" s="4" t="inlineStr">
        <is>
          <t>ceiling</t>
        </is>
      </c>
      <c r="D67" s="4" t="inlineStr">
        <is>
          <t>Dining bay (north window)</t>
        </is>
      </c>
      <c r="E67" s="4" t="n">
        <v>41.5</v>
      </c>
      <c r="F67" s="4" t="n">
        <v>21.5</v>
      </c>
      <c r="G67" s="4" t="inlineStr"/>
    </row>
    <row r="68">
      <c r="A68" s="4" t="inlineStr">
        <is>
          <t>F</t>
        </is>
      </c>
      <c r="B68" s="4" t="inlineStr">
        <is>
          <t>Ceiling fan point</t>
        </is>
      </c>
      <c r="C68" s="4" t="inlineStr">
        <is>
          <t>ceiling</t>
        </is>
      </c>
      <c r="D68" s="4" t="inlineStr">
        <is>
          <t>Dining bay (north window)</t>
        </is>
      </c>
      <c r="E68" s="4" t="n">
        <v>45</v>
      </c>
      <c r="F68" s="4" t="n">
        <v>21.5</v>
      </c>
      <c r="G68" s="4" t="inlineStr">
        <is>
          <t>long downrod, over the seating</t>
        </is>
      </c>
    </row>
    <row r="69">
      <c r="A69" s="4" t="inlineStr">
        <is>
          <t>P</t>
        </is>
      </c>
      <c r="B69" s="4" t="inlineStr">
        <is>
          <t>6 A socket</t>
        </is>
      </c>
      <c r="C69" s="4" t="inlineStr">
        <is>
          <t>1'-0"</t>
        </is>
      </c>
      <c r="D69" s="4" t="inlineStr">
        <is>
          <t>Dining bay (north window)</t>
        </is>
      </c>
      <c r="E69" s="4" t="n">
        <v>48.6</v>
      </c>
      <c r="F69" s="4" t="n">
        <v>24.6</v>
      </c>
      <c r="G69" s="4" t="inlineStr"/>
    </row>
    <row r="70">
      <c r="A70" s="4" t="inlineStr">
        <is>
          <t>TV</t>
        </is>
      </c>
      <c r="B70" s="4" t="inlineStr">
        <is>
          <t>TV + data point</t>
        </is>
      </c>
      <c r="C70" s="4" t="inlineStr">
        <is>
          <t>3'-6"</t>
        </is>
      </c>
      <c r="D70" s="4" t="inlineStr">
        <is>
          <t>Dining bay (north window)</t>
        </is>
      </c>
      <c r="E70" s="4" t="n">
        <v>38.4</v>
      </c>
      <c r="F70" s="4" t="n">
        <v>22.4</v>
      </c>
      <c r="G70" s="4" t="inlineStr">
        <is>
          <t>TV wall: 2 sockets + data + HDMI conduit to the unit</t>
        </is>
      </c>
    </row>
    <row r="71">
      <c r="A71" s="4" t="inlineStr">
        <is>
          <t>P</t>
        </is>
      </c>
      <c r="B71" s="4" t="inlineStr">
        <is>
          <t>6 A socket</t>
        </is>
      </c>
      <c r="C71" s="4" t="inlineStr">
        <is>
          <t>1'-0"</t>
        </is>
      </c>
      <c r="D71" s="4" t="inlineStr">
        <is>
          <t>Dining bay (north window)</t>
        </is>
      </c>
      <c r="E71" s="4" t="n">
        <v>38.4</v>
      </c>
      <c r="F71" s="4" t="n">
        <v>21</v>
      </c>
      <c r="G71" s="4" t="inlineStr">
        <is>
          <t>TV unit</t>
        </is>
      </c>
    </row>
    <row r="72">
      <c r="A72" s="4" t="inlineStr">
        <is>
          <t>AC</t>
        </is>
      </c>
      <c r="B72" s="4" t="inlineStr">
        <is>
          <t>AC indoor unit (16 A socket, sleeve, drain)</t>
        </is>
      </c>
      <c r="C72" s="4" t="inlineStr">
        <is>
          <t>7'-6"</t>
        </is>
      </c>
      <c r="D72" s="4" t="inlineStr">
        <is>
          <t>Dining bay (north window)</t>
        </is>
      </c>
      <c r="E72" s="4" t="n">
        <v>38.4</v>
      </c>
      <c r="F72" s="4" t="n">
        <v>20</v>
      </c>
      <c r="G72" s="4" t="inlineStr">
        <is>
          <t>above the TV unit, throws east over the seating</t>
        </is>
      </c>
    </row>
    <row r="73">
      <c r="A73" s="4" t="inlineStr">
        <is>
          <t>ODU</t>
        </is>
      </c>
      <c r="B73" s="4" t="inlineStr">
        <is>
          <t>AC outdoor unit bracket</t>
        </is>
      </c>
      <c r="C73" s="4" t="inlineStr">
        <is>
          <t>7'-0" outside</t>
        </is>
      </c>
      <c r="D73" s="4" t="inlineStr">
        <is>
          <t>Dining bay (north window)</t>
        </is>
      </c>
      <c r="E73" s="4" t="n">
        <v>40</v>
      </c>
      <c r="F73" s="4" t="n">
        <v>25.6</v>
      </c>
      <c r="G73" s="4" t="inlineStr">
        <is>
          <t>north wall, shaded</t>
        </is>
      </c>
    </row>
    <row r="74">
      <c r="A74" s="4" t="inlineStr">
        <is>
          <t>L</t>
        </is>
      </c>
      <c r="B74" s="4" t="inlineStr">
        <is>
          <t>Ceiling light</t>
        </is>
      </c>
      <c r="C74" s="4" t="inlineStr">
        <is>
          <t>ceiling</t>
        </is>
      </c>
      <c r="D74" s="4" t="inlineStr">
        <is>
          <t>Dining</t>
        </is>
      </c>
      <c r="E74" s="4" t="n">
        <v>44.5</v>
      </c>
      <c r="F74" s="4" t="n">
        <v>15</v>
      </c>
      <c r="G74" s="4" t="inlineStr">
        <is>
          <t>pendant</t>
        </is>
      </c>
    </row>
    <row r="75">
      <c r="A75" s="4" t="inlineStr">
        <is>
          <t>WL</t>
        </is>
      </c>
      <c r="B75" s="4" t="inlineStr">
        <is>
          <t>Wall light / mirror light</t>
        </is>
      </c>
      <c r="C75" s="4" t="inlineStr">
        <is>
          <t>6'-6"</t>
        </is>
      </c>
      <c r="D75" s="4" t="inlineStr">
        <is>
          <t>Dining</t>
        </is>
      </c>
      <c r="E75" s="4" t="n">
        <v>38.4</v>
      </c>
      <c r="F75" s="4" t="n">
        <v>17.5</v>
      </c>
      <c r="G75" s="4" t="inlineStr"/>
    </row>
    <row r="76">
      <c r="A76" s="4" t="inlineStr">
        <is>
          <t>P</t>
        </is>
      </c>
      <c r="B76" s="4" t="inlineStr">
        <is>
          <t>6 A socket</t>
        </is>
      </c>
      <c r="C76" s="4" t="inlineStr">
        <is>
          <t>1'-0"</t>
        </is>
      </c>
      <c r="D76" s="4" t="inlineStr">
        <is>
          <t>Dining</t>
        </is>
      </c>
      <c r="E76" s="4" t="n">
        <v>38.4</v>
      </c>
      <c r="F76" s="4" t="n">
        <v>16.2</v>
      </c>
      <c r="G76" s="4" t="inlineStr"/>
    </row>
    <row r="77">
      <c r="A77" s="4" t="inlineStr">
        <is>
          <t>S</t>
        </is>
      </c>
      <c r="B77" s="4" t="inlineStr">
        <is>
          <t>Switchboard</t>
        </is>
      </c>
      <c r="C77" s="4" t="inlineStr">
        <is>
          <t>4'-0"</t>
        </is>
      </c>
      <c r="D77" s="4" t="inlineStr">
        <is>
          <t>Dining</t>
        </is>
      </c>
      <c r="E77" s="4" t="n">
        <v>38.4</v>
      </c>
      <c r="F77" s="4" t="n">
        <v>13.7</v>
      </c>
      <c r="G77" s="4" t="inlineStr">
        <is>
          <t>dining and bay, at the passage</t>
        </is>
      </c>
    </row>
    <row r="78">
      <c r="A78" s="4" t="inlineStr">
        <is>
          <t>L</t>
        </is>
      </c>
      <c r="B78" s="4" t="inlineStr">
        <is>
          <t>Ceiling light</t>
        </is>
      </c>
      <c r="C78" s="4" t="inlineStr">
        <is>
          <t>ceiling</t>
        </is>
      </c>
      <c r="D78" s="4" t="inlineStr">
        <is>
          <t>Sitting and serving area (open)</t>
        </is>
      </c>
      <c r="E78" s="4" t="n">
        <v>30.5</v>
      </c>
      <c r="F78" s="4" t="n">
        <v>6.75</v>
      </c>
      <c r="G78" s="4" t="inlineStr"/>
    </row>
    <row r="79">
      <c r="A79" s="4" t="inlineStr">
        <is>
          <t>S</t>
        </is>
      </c>
      <c r="B79" s="4" t="inlineStr">
        <is>
          <t>Switchboard</t>
        </is>
      </c>
      <c r="C79" s="4" t="inlineStr">
        <is>
          <t>4'-0"</t>
        </is>
      </c>
      <c r="D79" s="4" t="inlineStr">
        <is>
          <t>Sitting and serving area (open)</t>
        </is>
      </c>
      <c r="E79" s="4" t="n">
        <v>21.4</v>
      </c>
      <c r="F79" s="4" t="n">
        <v>6</v>
      </c>
      <c r="G79" s="4" t="inlineStr"/>
    </row>
    <row r="80">
      <c r="A80" s="4" t="inlineStr">
        <is>
          <t>INV</t>
        </is>
      </c>
      <c r="B80" s="4" t="inlineStr">
        <is>
          <t>Inverter + battery</t>
        </is>
      </c>
      <c r="C80" s="4" t="inlineStr">
        <is>
          <t>floor</t>
        </is>
      </c>
      <c r="D80" s="4" t="inlineStr">
        <is>
          <t>Sitting and serving area (open)</t>
        </is>
      </c>
      <c r="E80" s="4" t="n">
        <v>22</v>
      </c>
      <c r="F80" s="4" t="n">
        <v>5</v>
      </c>
      <c r="G80" s="4" t="inlineStr">
        <is>
          <t>lithium inverter in a ventilated cabinet under the bench</t>
        </is>
      </c>
    </row>
    <row r="81">
      <c r="A81" s="4" t="inlineStr">
        <is>
          <t>L</t>
        </is>
      </c>
      <c r="B81" s="4" t="inlineStr">
        <is>
          <t>Ceiling light</t>
        </is>
      </c>
      <c r="C81" s="4" t="inlineStr">
        <is>
          <t>ceiling</t>
        </is>
      </c>
      <c r="D81" s="4" t="inlineStr">
        <is>
          <t>Wet area (open to the walkway)</t>
        </is>
      </c>
      <c r="E81" s="4" t="n">
        <v>50</v>
      </c>
      <c r="F81" s="4" t="n">
        <v>5.5</v>
      </c>
      <c r="G81" s="4" t="inlineStr">
        <is>
          <t>weatherproof</t>
        </is>
      </c>
    </row>
    <row r="82">
      <c r="A82" s="4" t="inlineStr">
        <is>
          <t>P16</t>
        </is>
      </c>
      <c r="B82" s="4" t="inlineStr">
        <is>
          <t>16 A power socket</t>
        </is>
      </c>
      <c r="C82" s="4" t="inlineStr">
        <is>
          <t>varies</t>
        </is>
      </c>
      <c r="D82" s="4" t="inlineStr">
        <is>
          <t>Wet area (open to the walkway)</t>
        </is>
      </c>
      <c r="E82" s="4" t="n">
        <v>48.5</v>
      </c>
      <c r="F82" s="4" t="n">
        <v>8.699999999999999</v>
      </c>
      <c r="G82" s="4" t="inlineStr">
        <is>
          <t>washing machine</t>
        </is>
      </c>
    </row>
    <row r="83">
      <c r="A83" s="4" t="inlineStr">
        <is>
          <t>P</t>
        </is>
      </c>
      <c r="B83" s="4" t="inlineStr">
        <is>
          <t>6 A socket</t>
        </is>
      </c>
      <c r="C83" s="4" t="inlineStr">
        <is>
          <t>1'-0"</t>
        </is>
      </c>
      <c r="D83" s="4" t="inlineStr">
        <is>
          <t>Wet area (open to the walkway)</t>
        </is>
      </c>
      <c r="E83" s="4" t="n">
        <v>52.6</v>
      </c>
      <c r="F83" s="4" t="n">
        <v>6</v>
      </c>
      <c r="G83" s="4" t="inlineStr">
        <is>
          <t>utility, weatherproof</t>
        </is>
      </c>
    </row>
    <row r="84">
      <c r="A84" s="4" t="inlineStr">
        <is>
          <t>L</t>
        </is>
      </c>
      <c r="B84" s="4" t="inlineStr">
        <is>
          <t>Ceiling light</t>
        </is>
      </c>
      <c r="C84" s="4" t="inlineStr">
        <is>
          <t>ceiling</t>
        </is>
      </c>
      <c r="D84" s="4" t="inlineStr">
        <is>
          <t>Kitchen</t>
        </is>
      </c>
      <c r="E84" s="4" t="n">
        <v>62</v>
      </c>
      <c r="F84" s="4" t="n">
        <v>8</v>
      </c>
      <c r="G84" s="4" t="inlineStr"/>
    </row>
    <row r="85">
      <c r="A85" s="4" t="inlineStr">
        <is>
          <t>WL</t>
        </is>
      </c>
      <c r="B85" s="4" t="inlineStr">
        <is>
          <t>Wall light / mirror light</t>
        </is>
      </c>
      <c r="C85" s="4" t="inlineStr">
        <is>
          <t>6'-6"</t>
        </is>
      </c>
      <c r="D85" s="4" t="inlineStr">
        <is>
          <t>Kitchen</t>
        </is>
      </c>
      <c r="E85" s="4" t="n">
        <v>61</v>
      </c>
      <c r="F85" s="4" t="n">
        <v>3.5</v>
      </c>
      <c r="G85" s="4" t="inlineStr">
        <is>
          <t>under-cabinet</t>
        </is>
      </c>
    </row>
    <row r="86">
      <c r="A86" s="4" t="inlineStr">
        <is>
          <t>WL</t>
        </is>
      </c>
      <c r="B86" s="4" t="inlineStr">
        <is>
          <t>Wall light / mirror light</t>
        </is>
      </c>
      <c r="C86" s="4" t="inlineStr">
        <is>
          <t>6'-6"</t>
        </is>
      </c>
      <c r="D86" s="4" t="inlineStr">
        <is>
          <t>Kitchen</t>
        </is>
      </c>
      <c r="E86" s="4" t="n">
        <v>66.5</v>
      </c>
      <c r="F86" s="4" t="n">
        <v>9.6</v>
      </c>
      <c r="G86" s="4" t="inlineStr">
        <is>
          <t>under-cabinet</t>
        </is>
      </c>
    </row>
    <row r="87">
      <c r="A87" s="4" t="inlineStr">
        <is>
          <t>CH</t>
        </is>
      </c>
      <c r="B87" s="4" t="inlineStr">
        <is>
          <t>Kitchen chimney point (16 A)</t>
        </is>
      </c>
      <c r="C87" s="4" t="inlineStr">
        <is>
          <t>7'-0"</t>
        </is>
      </c>
      <c r="D87" s="4" t="inlineStr">
        <is>
          <t>Kitchen</t>
        </is>
      </c>
      <c r="E87" s="4" t="n">
        <v>66.59999999999999</v>
      </c>
      <c r="F87" s="4" t="n">
        <v>7.5</v>
      </c>
      <c r="G87" s="4" t="inlineStr">
        <is>
          <t>3 ft chimney on solid wall, duct out through the east wall</t>
        </is>
      </c>
    </row>
    <row r="88">
      <c r="A88" s="4" t="inlineStr">
        <is>
          <t>P16</t>
        </is>
      </c>
      <c r="B88" s="4" t="inlineStr">
        <is>
          <t>16 A power socket</t>
        </is>
      </c>
      <c r="C88" s="4" t="inlineStr">
        <is>
          <t>varies</t>
        </is>
      </c>
      <c r="D88" s="4" t="inlineStr">
        <is>
          <t>Kitchen</t>
        </is>
      </c>
      <c r="E88" s="4" t="n">
        <v>58.75</v>
      </c>
      <c r="F88" s="4" t="n">
        <v>12.7</v>
      </c>
      <c r="G88" s="4" t="inlineStr">
        <is>
          <t>refrigerator, behind the fridge</t>
        </is>
      </c>
    </row>
    <row r="89">
      <c r="A89" s="4" t="inlineStr">
        <is>
          <t>PC</t>
        </is>
      </c>
      <c r="B89" s="4" t="inlineStr">
        <is>
          <t>6 A socket at counter</t>
        </is>
      </c>
      <c r="C89" s="4" t="inlineStr">
        <is>
          <t>3'-6"</t>
        </is>
      </c>
      <c r="D89" s="4" t="inlineStr">
        <is>
          <t>Kitchen</t>
        </is>
      </c>
      <c r="E89" s="4" t="n">
        <v>54.5</v>
      </c>
      <c r="F89" s="4" t="n">
        <v>3.5</v>
      </c>
      <c r="G89" s="4" t="inlineStr"/>
    </row>
    <row r="90">
      <c r="A90" s="4" t="inlineStr">
        <is>
          <t>PC</t>
        </is>
      </c>
      <c r="B90" s="4" t="inlineStr">
        <is>
          <t>6 A socket at counter</t>
        </is>
      </c>
      <c r="C90" s="4" t="inlineStr">
        <is>
          <t>3'-6"</t>
        </is>
      </c>
      <c r="D90" s="4" t="inlineStr">
        <is>
          <t>Kitchen</t>
        </is>
      </c>
      <c r="E90" s="4" t="n">
        <v>58</v>
      </c>
      <c r="F90" s="4" t="n">
        <v>3.5</v>
      </c>
      <c r="G90" s="4" t="inlineStr">
        <is>
          <t>microwave / OTG</t>
        </is>
      </c>
    </row>
    <row r="91">
      <c r="A91" s="4" t="inlineStr">
        <is>
          <t>PC</t>
        </is>
      </c>
      <c r="B91" s="4" t="inlineStr">
        <is>
          <t>6 A socket at counter</t>
        </is>
      </c>
      <c r="C91" s="4" t="inlineStr">
        <is>
          <t>3'-6"</t>
        </is>
      </c>
      <c r="D91" s="4" t="inlineStr">
        <is>
          <t>Kitchen</t>
        </is>
      </c>
      <c r="E91" s="4" t="n">
        <v>63.5</v>
      </c>
      <c r="F91" s="4" t="n">
        <v>3.5</v>
      </c>
      <c r="G91" s="4" t="inlineStr">
        <is>
          <t>mixer</t>
        </is>
      </c>
    </row>
    <row r="92">
      <c r="A92" s="4" t="inlineStr">
        <is>
          <t>PC</t>
        </is>
      </c>
      <c r="B92" s="4" t="inlineStr">
        <is>
          <t>6 A socket at counter</t>
        </is>
      </c>
      <c r="C92" s="4" t="inlineStr">
        <is>
          <t>3'-6"</t>
        </is>
      </c>
      <c r="D92" s="4" t="inlineStr">
        <is>
          <t>Kitchen</t>
        </is>
      </c>
      <c r="E92" s="4" t="n">
        <v>66.59999999999999</v>
      </c>
      <c r="F92" s="4" t="n">
        <v>5.6</v>
      </c>
      <c r="G92" s="4" t="inlineStr"/>
    </row>
    <row r="93">
      <c r="A93" s="4" t="inlineStr">
        <is>
          <t>PC</t>
        </is>
      </c>
      <c r="B93" s="4" t="inlineStr">
        <is>
          <t>6 A socket at counter</t>
        </is>
      </c>
      <c r="C93" s="4" t="inlineStr">
        <is>
          <t>3'-6"</t>
        </is>
      </c>
      <c r="D93" s="4" t="inlineStr">
        <is>
          <t>Kitchen</t>
        </is>
      </c>
      <c r="E93" s="4" t="n">
        <v>66.59999999999999</v>
      </c>
      <c r="F93" s="4" t="n">
        <v>9.6</v>
      </c>
      <c r="G93" s="4" t="inlineStr"/>
    </row>
    <row r="94">
      <c r="A94" s="4" t="inlineStr">
        <is>
          <t>PC</t>
        </is>
      </c>
      <c r="B94" s="4" t="inlineStr">
        <is>
          <t>6 A socket at counter</t>
        </is>
      </c>
      <c r="C94" s="4" t="inlineStr">
        <is>
          <t>3'-6"</t>
        </is>
      </c>
      <c r="D94" s="4" t="inlineStr">
        <is>
          <t>Kitchen</t>
        </is>
      </c>
      <c r="E94" s="4" t="n">
        <v>59.3</v>
      </c>
      <c r="F94" s="4" t="n">
        <v>3.5</v>
      </c>
      <c r="G94" s="4" t="inlineStr">
        <is>
          <t>RO purifier, by sink</t>
        </is>
      </c>
    </row>
    <row r="95">
      <c r="A95" s="4" t="inlineStr">
        <is>
          <t>S</t>
        </is>
      </c>
      <c r="B95" s="4" t="inlineStr">
        <is>
          <t>Switchboard</t>
        </is>
      </c>
      <c r="C95" s="4" t="inlineStr">
        <is>
          <t>4'-0"</t>
        </is>
      </c>
      <c r="D95" s="4" t="inlineStr">
        <is>
          <t>Kitchen</t>
        </is>
      </c>
      <c r="E95" s="4" t="n">
        <v>53.4</v>
      </c>
      <c r="F95" s="4" t="n">
        <v>9</v>
      </c>
      <c r="G95" s="4" t="inlineStr">
        <is>
          <t>beside the entry, latch side</t>
        </is>
      </c>
    </row>
    <row r="96">
      <c r="A96" s="4" t="inlineStr">
        <is>
          <t>F</t>
        </is>
      </c>
      <c r="B96" s="4" t="inlineStr">
        <is>
          <t>Ceiling fan point</t>
        </is>
      </c>
      <c r="C96" s="4" t="inlineStr">
        <is>
          <t>ceiling</t>
        </is>
      </c>
      <c r="D96" s="4" t="inlineStr">
        <is>
          <t>Living</t>
        </is>
      </c>
      <c r="E96" s="4" t="n">
        <v>55</v>
      </c>
      <c r="F96" s="4" t="n">
        <v>19</v>
      </c>
      <c r="G96" s="4" t="inlineStr">
        <is>
          <t>long downrod</t>
        </is>
      </c>
    </row>
    <row r="97">
      <c r="A97" s="4" t="inlineStr">
        <is>
          <t>L</t>
        </is>
      </c>
      <c r="B97" s="4" t="inlineStr">
        <is>
          <t>Ceiling light</t>
        </is>
      </c>
      <c r="C97" s="4" t="inlineStr">
        <is>
          <t>ceiling</t>
        </is>
      </c>
      <c r="D97" s="4" t="inlineStr">
        <is>
          <t>Living</t>
        </is>
      </c>
      <c r="E97" s="4" t="n">
        <v>52</v>
      </c>
      <c r="F97" s="4" t="n">
        <v>22.5</v>
      </c>
      <c r="G97" s="4" t="inlineStr"/>
    </row>
    <row r="98">
      <c r="A98" s="4" t="inlineStr">
        <is>
          <t>L</t>
        </is>
      </c>
      <c r="B98" s="4" t="inlineStr">
        <is>
          <t>Ceiling light</t>
        </is>
      </c>
      <c r="C98" s="4" t="inlineStr">
        <is>
          <t>ceiling</t>
        </is>
      </c>
      <c r="D98" s="4" t="inlineStr">
        <is>
          <t>Living</t>
        </is>
      </c>
      <c r="E98" s="4" t="n">
        <v>55</v>
      </c>
      <c r="F98" s="4" t="n">
        <v>16</v>
      </c>
      <c r="G98" s="4" t="inlineStr"/>
    </row>
    <row r="99">
      <c r="A99" s="4" t="inlineStr">
        <is>
          <t>P</t>
        </is>
      </c>
      <c r="B99" s="4" t="inlineStr">
        <is>
          <t>6 A socket</t>
        </is>
      </c>
      <c r="C99" s="4" t="inlineStr">
        <is>
          <t>1'-0"</t>
        </is>
      </c>
      <c r="D99" s="4" t="inlineStr">
        <is>
          <t>Dining bay (north window)</t>
        </is>
      </c>
      <c r="E99" s="4" t="n">
        <v>48.2</v>
      </c>
      <c r="F99" s="4" t="n">
        <v>18.4</v>
      </c>
      <c r="G99" s="4" t="inlineStr">
        <is>
          <t>floor socket, sofa end</t>
        </is>
      </c>
    </row>
    <row r="100">
      <c r="A100" s="4" t="inlineStr">
        <is>
          <t>P</t>
        </is>
      </c>
      <c r="B100" s="4" t="inlineStr">
        <is>
          <t>6 A socket</t>
        </is>
      </c>
      <c r="C100" s="4" t="inlineStr">
        <is>
          <t>1'-0"</t>
        </is>
      </c>
      <c r="D100" s="4" t="inlineStr">
        <is>
          <t>Living</t>
        </is>
      </c>
      <c r="E100" s="4" t="n">
        <v>52.6</v>
      </c>
      <c r="F100" s="4" t="n">
        <v>17.8</v>
      </c>
      <c r="G100" s="4" t="inlineStr">
        <is>
          <t>floor socket, armchair</t>
        </is>
      </c>
    </row>
    <row r="101">
      <c r="A101" s="4" t="inlineStr">
        <is>
          <t>S</t>
        </is>
      </c>
      <c r="B101" s="4" t="inlineStr">
        <is>
          <t>Switchboard</t>
        </is>
      </c>
      <c r="C101" s="4" t="inlineStr">
        <is>
          <t>4'-0"</t>
        </is>
      </c>
      <c r="D101" s="4" t="inlineStr">
        <is>
          <t>Living</t>
        </is>
      </c>
      <c r="E101" s="4" t="n">
        <v>60.6</v>
      </c>
      <c r="F101" s="4" t="n">
        <v>21</v>
      </c>
      <c r="G101" s="4" t="inlineStr">
        <is>
          <t>main switch at door</t>
        </is>
      </c>
    </row>
    <row r="102">
      <c r="A102" s="4" t="inlineStr">
        <is>
          <t>DB</t>
        </is>
      </c>
      <c r="B102" s="4" t="inlineStr">
        <is>
          <t>Distribution board</t>
        </is>
      </c>
      <c r="C102" s="4" t="inlineStr">
        <is>
          <t>5'-0" to top</t>
        </is>
      </c>
      <c r="D102" s="4" t="inlineStr">
        <is>
          <t>Dining</t>
        </is>
      </c>
      <c r="E102" s="4" t="n">
        <v>38.4</v>
      </c>
      <c r="F102" s="4" t="n">
        <v>12.6</v>
      </c>
      <c r="G102" s="4" t="inlineStr">
        <is>
          <t>dining face of Bedroom 2's east wall, by the passage; dry wall away from the pooja and wet area</t>
        </is>
      </c>
    </row>
    <row r="103">
      <c r="A103" s="4" t="inlineStr">
        <is>
          <t>U</t>
        </is>
      </c>
      <c r="B103" s="4" t="inlineStr">
        <is>
          <t>Inverter (UPS) socket</t>
        </is>
      </c>
      <c r="C103" s="4" t="inlineStr">
        <is>
          <t>1'-0"</t>
        </is>
      </c>
      <c r="D103" s="4" t="inlineStr">
        <is>
          <t>Dining</t>
        </is>
      </c>
      <c r="E103" s="4" t="n">
        <v>38.4</v>
      </c>
      <c r="F103" s="4" t="n">
        <v>14.6</v>
      </c>
      <c r="G103" s="4" t="inlineStr">
        <is>
          <t>router (central)</t>
        </is>
      </c>
    </row>
    <row r="104">
      <c r="A104" s="4" t="inlineStr">
        <is>
          <t>L</t>
        </is>
      </c>
      <c r="B104" s="4" t="inlineStr">
        <is>
          <t>Ceiling light</t>
        </is>
      </c>
      <c r="C104" s="4" t="inlineStr">
        <is>
          <t>ceiling</t>
        </is>
      </c>
      <c r="D104" s="4" t="inlineStr">
        <is>
          <t>Poomukham (verandah)</t>
        </is>
      </c>
      <c r="E104" s="4" t="n">
        <v>64</v>
      </c>
      <c r="F104" s="4" t="n">
        <v>16</v>
      </c>
      <c r="G104" s="4" t="inlineStr"/>
    </row>
    <row r="105">
      <c r="A105" s="4" t="inlineStr">
        <is>
          <t>L</t>
        </is>
      </c>
      <c r="B105" s="4" t="inlineStr">
        <is>
          <t>Ceiling light</t>
        </is>
      </c>
      <c r="C105" s="4" t="inlineStr">
        <is>
          <t>ceiling</t>
        </is>
      </c>
      <c r="D105" s="4" t="inlineStr">
        <is>
          <t>Poomukham (verandah)</t>
        </is>
      </c>
      <c r="E105" s="4" t="n">
        <v>64</v>
      </c>
      <c r="F105" s="4" t="n">
        <v>22</v>
      </c>
      <c r="G105" s="4" t="inlineStr"/>
    </row>
    <row r="106">
      <c r="A106" s="4" t="inlineStr">
        <is>
          <t>BELL</t>
        </is>
      </c>
      <c r="B106" s="4" t="inlineStr">
        <is>
          <t>Bell push</t>
        </is>
      </c>
      <c r="C106" s="4" t="inlineStr">
        <is>
          <t>4'-6"</t>
        </is>
      </c>
      <c r="D106" s="4" t="inlineStr">
        <is>
          <t>Poomukham (verandah)</t>
        </is>
      </c>
      <c r="E106" s="4" t="n">
        <v>61.4</v>
      </c>
      <c r="F106" s="4" t="n">
        <v>20.4</v>
      </c>
      <c r="G106" s="4" t="inlineStr"/>
    </row>
    <row r="107">
      <c r="A107" s="4" t="inlineStr">
        <is>
          <t>CAM</t>
        </is>
      </c>
      <c r="B107" s="4" t="inlineStr">
        <is>
          <t>CCTV point</t>
        </is>
      </c>
      <c r="C107" s="4" t="inlineStr">
        <is>
          <t>8'-0"</t>
        </is>
      </c>
      <c r="D107" s="4" t="inlineStr">
        <is>
          <t>Poomukham (verandah)</t>
        </is>
      </c>
      <c r="E107" s="4" t="n">
        <v>66.5</v>
      </c>
      <c r="F107" s="4" t="n">
        <v>24.6</v>
      </c>
      <c r="G107" s="4" t="inlineStr">
        <is>
          <t>covers gate and door</t>
        </is>
      </c>
    </row>
    <row r="108">
      <c r="A108" s="4" t="inlineStr">
        <is>
          <t>P</t>
        </is>
      </c>
      <c r="B108" s="4" t="inlineStr">
        <is>
          <t>6 A socket</t>
        </is>
      </c>
      <c r="C108" s="4" t="inlineStr">
        <is>
          <t>1'-0"</t>
        </is>
      </c>
      <c r="D108" s="4" t="inlineStr">
        <is>
          <t>Poomukham (verandah)</t>
        </is>
      </c>
      <c r="E108" s="4" t="n">
        <v>61.4</v>
      </c>
      <c r="F108" s="4" t="n">
        <v>24</v>
      </c>
      <c r="G108" s="4" t="inlineStr">
        <is>
          <t>outdoor, weatherproof</t>
        </is>
      </c>
    </row>
    <row r="109">
      <c r="A109" s="4" t="inlineStr">
        <is>
          <t>S</t>
        </is>
      </c>
      <c r="B109" s="4" t="inlineStr">
        <is>
          <t>Switchboard</t>
        </is>
      </c>
      <c r="C109" s="4" t="inlineStr">
        <is>
          <t>4'-0"</t>
        </is>
      </c>
      <c r="D109" s="4" t="inlineStr">
        <is>
          <t>Poomukham (verandah)</t>
        </is>
      </c>
      <c r="E109" s="4" t="n">
        <v>61.4</v>
      </c>
      <c r="F109" s="4" t="n">
        <v>20.9</v>
      </c>
      <c r="G109" s="4" t="inlineStr"/>
    </row>
    <row r="110">
      <c r="A110" s="4" t="inlineStr">
        <is>
          <t>MTR</t>
        </is>
      </c>
      <c r="B110" s="4" t="inlineStr">
        <is>
          <t>Meter at gate</t>
        </is>
      </c>
      <c r="C110" s="4" t="inlineStr">
        <is>
          <t>5'-0"</t>
        </is>
      </c>
      <c r="D110" s="4" t="inlineStr">
        <is>
          <t>Site</t>
        </is>
      </c>
      <c r="E110" s="4" t="n">
        <v>74.59999999999999</v>
      </c>
      <c r="F110" s="4" t="n">
        <v>23</v>
      </c>
      <c r="G110" s="4" t="inlineStr">
        <is>
          <t>meter in compound wall by gate</t>
        </is>
      </c>
    </row>
    <row r="111">
      <c r="A111" s="4" t="inlineStr">
        <is>
          <t>GL</t>
        </is>
      </c>
      <c r="B111" s="4" t="inlineStr">
        <is>
          <t>Outdoor / gate light</t>
        </is>
      </c>
      <c r="C111" s="4" t="inlineStr">
        <is>
          <t>7'-0"</t>
        </is>
      </c>
      <c r="D111" s="4" t="inlineStr">
        <is>
          <t>Site</t>
        </is>
      </c>
      <c r="E111" s="4" t="n">
        <v>74.59999999999999</v>
      </c>
      <c r="F111" s="4" t="n">
        <v>14.5</v>
      </c>
      <c r="G111" s="4" t="inlineStr">
        <is>
          <t>gate light</t>
        </is>
      </c>
    </row>
    <row r="112">
      <c r="A112" s="4" t="inlineStr">
        <is>
          <t>EP</t>
        </is>
      </c>
      <c r="B112" s="4" t="inlineStr">
        <is>
          <t>Earth pit</t>
        </is>
      </c>
      <c r="C112" s="4" t="inlineStr">
        <is>
          <t>ground</t>
        </is>
      </c>
      <c r="D112" s="4" t="inlineStr">
        <is>
          <t>Site</t>
        </is>
      </c>
      <c r="E112" s="4" t="n">
        <v>68.2</v>
      </c>
      <c r="F112" s="4" t="n">
        <v>1.5</v>
      </c>
      <c r="G112" s="4" t="inlineStr">
        <is>
          <t>earth pit 1</t>
        </is>
      </c>
    </row>
    <row r="113">
      <c r="A113" s="4" t="inlineStr">
        <is>
          <t>EP</t>
        </is>
      </c>
      <c r="B113" s="4" t="inlineStr">
        <is>
          <t>Earth pit</t>
        </is>
      </c>
      <c r="C113" s="4" t="inlineStr">
        <is>
          <t>ground</t>
        </is>
      </c>
      <c r="D113" s="4" t="inlineStr">
        <is>
          <t>Site</t>
        </is>
      </c>
      <c r="E113" s="4" t="n">
        <v>73.5</v>
      </c>
      <c r="F113" s="4" t="n">
        <v>1.5</v>
      </c>
      <c r="G113" s="4" t="inlineStr">
        <is>
          <t>earth pit 2</t>
        </is>
      </c>
    </row>
    <row r="114">
      <c r="A114" s="4" t="inlineStr">
        <is>
          <t>GL</t>
        </is>
      </c>
      <c r="B114" s="4" t="inlineStr">
        <is>
          <t>Outdoor / gate light</t>
        </is>
      </c>
      <c r="C114" s="4" t="inlineStr">
        <is>
          <t>7'-0"</t>
        </is>
      </c>
      <c r="D114" s="4" t="inlineStr">
        <is>
          <t>Site</t>
        </is>
      </c>
      <c r="E114" s="4" t="n">
        <v>2.5</v>
      </c>
      <c r="F114" s="4" t="n">
        <v>8</v>
      </c>
      <c r="G114" s="4" t="inlineStr">
        <is>
          <t>rear garden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22" customWidth="1" min="3" max="3"/>
    <col width="8" customWidth="1" min="4" max="4"/>
    <col width="8" customWidth="1" min="5" max="5"/>
    <col width="40" customWidth="1" min="6" max="6"/>
  </cols>
  <sheetData>
    <row r="1" ht="30" customHeight="1">
      <c r="A1" s="3" t="inlineStr">
        <is>
          <t>Code</t>
        </is>
      </c>
      <c r="B1" s="3" t="inlineStr">
        <is>
          <t>Item</t>
        </is>
      </c>
      <c r="C1" s="3" t="inlineStr">
        <is>
          <t>Room</t>
        </is>
      </c>
      <c r="D1" s="3" t="inlineStr">
        <is>
          <t>X (ft)</t>
        </is>
      </c>
      <c r="E1" s="3" t="inlineStr">
        <is>
          <t>Y (ft)</t>
        </is>
      </c>
      <c r="F1" s="3" t="inlineStr">
        <is>
          <t>Note</t>
        </is>
      </c>
    </row>
    <row r="2">
      <c r="A2" s="4" t="inlineStr">
        <is>
          <t>WC</t>
        </is>
      </c>
      <c r="B2" s="4" t="inlineStr">
        <is>
          <t>Wall-hung WC, concealed cistern</t>
        </is>
      </c>
      <c r="C2" s="4" t="inlineStr">
        <is>
          <t>Ensuite</t>
        </is>
      </c>
      <c r="D2" s="4" t="n">
        <v>6.3</v>
      </c>
      <c r="E2" s="4" t="n">
        <v>19.5</v>
      </c>
      <c r="F2" s="4" t="inlineStr">
        <is>
          <t>wall-hung on west (outer) wall</t>
        </is>
      </c>
    </row>
    <row r="3">
      <c r="A3" s="4" t="inlineStr">
        <is>
          <t>HF</t>
        </is>
      </c>
      <c r="B3" s="4" t="inlineStr">
        <is>
          <t>Health faucet</t>
        </is>
      </c>
      <c r="C3" s="4" t="inlineStr">
        <is>
          <t>Ensuite</t>
        </is>
      </c>
      <c r="D3" s="4" t="n">
        <v>5.4</v>
      </c>
      <c r="E3" s="4" t="n">
        <v>20.6</v>
      </c>
      <c r="F3" s="4" t="inlineStr"/>
    </row>
    <row r="4">
      <c r="A4" s="4" t="inlineStr">
        <is>
          <t>BS</t>
        </is>
      </c>
      <c r="B4" s="4" t="inlineStr">
        <is>
          <t>Wash basin</t>
        </is>
      </c>
      <c r="C4" s="4" t="inlineStr">
        <is>
          <t>Ensuite</t>
        </is>
      </c>
      <c r="D4" s="4" t="n">
        <v>9</v>
      </c>
      <c r="E4" s="4" t="n">
        <v>17.8</v>
      </c>
      <c r="F4" s="4" t="inlineStr">
        <is>
          <t>on 7 in wet wall</t>
        </is>
      </c>
    </row>
    <row r="5">
      <c r="A5" s="4" t="inlineStr">
        <is>
          <t>SH</t>
        </is>
      </c>
      <c r="B5" s="4" t="inlineStr">
        <is>
          <t>Shower mixer (hot + cold)</t>
        </is>
      </c>
      <c r="C5" s="4" t="inlineStr">
        <is>
          <t>Ensuite</t>
        </is>
      </c>
      <c r="D5" s="4" t="n">
        <v>5.4</v>
      </c>
      <c r="E5" s="4" t="n">
        <v>23.6</v>
      </c>
      <c r="F5" s="4" t="inlineStr"/>
    </row>
    <row r="6">
      <c r="A6" s="4" t="inlineStr">
        <is>
          <t>FT</t>
        </is>
      </c>
      <c r="B6" s="4" t="inlineStr">
        <is>
          <t>Floor trap / linear drain</t>
        </is>
      </c>
      <c r="C6" s="4" t="inlineStr">
        <is>
          <t>Ensuite</t>
        </is>
      </c>
      <c r="D6" s="4" t="n">
        <v>8.25</v>
      </c>
      <c r="E6" s="4" t="n">
        <v>24.5</v>
      </c>
      <c r="F6" s="4" t="inlineStr">
        <is>
          <t>linear drain along north wall</t>
        </is>
      </c>
    </row>
    <row r="7">
      <c r="A7" s="4" t="inlineStr">
        <is>
          <t>FT</t>
        </is>
      </c>
      <c r="B7" s="4" t="inlineStr">
        <is>
          <t>Floor trap / linear drain</t>
        </is>
      </c>
      <c r="C7" s="4" t="inlineStr">
        <is>
          <t>Ensuite</t>
        </is>
      </c>
      <c r="D7" s="4" t="n">
        <v>9.6</v>
      </c>
      <c r="E7" s="4" t="n">
        <v>20.2</v>
      </c>
      <c r="F7" s="4" t="inlineStr">
        <is>
          <t>dry zone trap</t>
        </is>
      </c>
    </row>
    <row r="8">
      <c r="A8" s="4" t="inlineStr">
        <is>
          <t>WC</t>
        </is>
      </c>
      <c r="B8" s="4" t="inlineStr">
        <is>
          <t>Wall-hung WC, concealed cistern</t>
        </is>
      </c>
      <c r="C8" s="4" t="inlineStr">
        <is>
          <t>Common bath</t>
        </is>
      </c>
      <c r="D8" s="4" t="n">
        <v>47.6</v>
      </c>
      <c r="E8" s="4" t="n">
        <v>7.35</v>
      </c>
      <c r="F8" s="4" t="inlineStr">
        <is>
          <t>on the wet wall</t>
        </is>
      </c>
    </row>
    <row r="9">
      <c r="A9" s="4" t="inlineStr">
        <is>
          <t>HF</t>
        </is>
      </c>
      <c r="B9" s="4" t="inlineStr">
        <is>
          <t>Health faucet</t>
        </is>
      </c>
      <c r="C9" s="4" t="inlineStr">
        <is>
          <t>Common bath</t>
        </is>
      </c>
      <c r="D9" s="4" t="n">
        <v>47.6</v>
      </c>
      <c r="E9" s="4" t="n">
        <v>6.5</v>
      </c>
      <c r="F9" s="4" t="inlineStr"/>
    </row>
    <row r="10">
      <c r="A10" s="4" t="inlineStr">
        <is>
          <t>BS</t>
        </is>
      </c>
      <c r="B10" s="4" t="inlineStr">
        <is>
          <t>Wash basin</t>
        </is>
      </c>
      <c r="C10" s="4" t="inlineStr">
        <is>
          <t>Common bath</t>
        </is>
      </c>
      <c r="D10" s="4" t="n">
        <v>47.6</v>
      </c>
      <c r="E10" s="4" t="n">
        <v>4.8</v>
      </c>
      <c r="F10" s="4" t="inlineStr">
        <is>
          <t>on 7 in wet wall</t>
        </is>
      </c>
    </row>
    <row r="11">
      <c r="A11" s="4" t="inlineStr">
        <is>
          <t>SH</t>
        </is>
      </c>
      <c r="B11" s="4" t="inlineStr">
        <is>
          <t>Shower mixer (hot + cold)</t>
        </is>
      </c>
      <c r="C11" s="4" t="inlineStr">
        <is>
          <t>Common bath</t>
        </is>
      </c>
      <c r="D11" s="4" t="n">
        <v>41.8</v>
      </c>
      <c r="E11" s="4" t="n">
        <v>3.9</v>
      </c>
      <c r="F11" s="4" t="inlineStr">
        <is>
          <t>west wall, clear of the window</t>
        </is>
      </c>
    </row>
    <row r="12">
      <c r="A12" s="4" t="inlineStr">
        <is>
          <t>FT</t>
        </is>
      </c>
      <c r="B12" s="4" t="inlineStr">
        <is>
          <t>Floor trap / linear drain</t>
        </is>
      </c>
      <c r="C12" s="4" t="inlineStr">
        <is>
          <t>Common bath</t>
        </is>
      </c>
      <c r="D12" s="4" t="n">
        <v>43.2</v>
      </c>
      <c r="E12" s="4" t="n">
        <v>3.6</v>
      </c>
      <c r="F12" s="4" t="inlineStr">
        <is>
          <t>shower drain</t>
        </is>
      </c>
    </row>
    <row r="13">
      <c r="A13" s="4" t="inlineStr">
        <is>
          <t>FT</t>
        </is>
      </c>
      <c r="B13" s="4" t="inlineStr">
        <is>
          <t>Floor trap / linear drain</t>
        </is>
      </c>
      <c r="C13" s="4" t="inlineStr">
        <is>
          <t>Common bath</t>
        </is>
      </c>
      <c r="D13" s="4" t="n">
        <v>46.3</v>
      </c>
      <c r="E13" s="4" t="n">
        <v>6</v>
      </c>
      <c r="F13" s="4" t="inlineStr">
        <is>
          <t>dry zone trap</t>
        </is>
      </c>
    </row>
    <row r="14">
      <c r="A14" s="4" t="inlineStr">
        <is>
          <t>WC</t>
        </is>
      </c>
      <c r="B14" s="4" t="inlineStr">
        <is>
          <t>Wall-hung WC, concealed cistern</t>
        </is>
      </c>
      <c r="C14" s="4" t="inlineStr">
        <is>
          <t>Bath 2 (attached to Bedroom 2)</t>
        </is>
      </c>
      <c r="D14" s="4" t="n">
        <v>22.5</v>
      </c>
      <c r="E14" s="4" t="n">
        <v>24</v>
      </c>
      <c r="F14" s="4" t="inlineStr">
        <is>
          <t>on the north (outer) wall, 15 in clear each side</t>
        </is>
      </c>
    </row>
    <row r="15">
      <c r="A15" s="4" t="inlineStr">
        <is>
          <t>HF</t>
        </is>
      </c>
      <c r="B15" s="4" t="inlineStr">
        <is>
          <t>Health faucet</t>
        </is>
      </c>
      <c r="C15" s="4" t="inlineStr">
        <is>
          <t>Bath 2 (attached to Bedroom 2)</t>
        </is>
      </c>
      <c r="D15" s="4" t="n">
        <v>21.4</v>
      </c>
      <c r="E15" s="4" t="n">
        <v>23.4</v>
      </c>
      <c r="F15" s="4" t="inlineStr"/>
    </row>
    <row r="16">
      <c r="A16" s="4" t="inlineStr">
        <is>
          <t>BS</t>
        </is>
      </c>
      <c r="B16" s="4" t="inlineStr">
        <is>
          <t>Wash basin</t>
        </is>
      </c>
      <c r="C16" s="4" t="inlineStr">
        <is>
          <t>Bath 2 (attached to Bedroom 2)</t>
        </is>
      </c>
      <c r="D16" s="4" t="n">
        <v>22.35</v>
      </c>
      <c r="E16" s="4" t="n">
        <v>18.4</v>
      </c>
      <c r="F16" s="4" t="inlineStr">
        <is>
          <t>on 7 in wet wall (south)</t>
        </is>
      </c>
    </row>
    <row r="17">
      <c r="A17" s="4" t="inlineStr">
        <is>
          <t>SH</t>
        </is>
      </c>
      <c r="B17" s="4" t="inlineStr">
        <is>
          <t>Shower mixer (hot + cold)</t>
        </is>
      </c>
      <c r="C17" s="4" t="inlineStr">
        <is>
          <t>Bath 2 (attached to Bedroom 2)</t>
        </is>
      </c>
      <c r="D17" s="4" t="n">
        <v>27.6</v>
      </c>
      <c r="E17" s="4" t="n">
        <v>24</v>
      </c>
      <c r="F17" s="4" t="inlineStr">
        <is>
          <t>east wall</t>
        </is>
      </c>
    </row>
    <row r="18">
      <c r="A18" s="4" t="inlineStr">
        <is>
          <t>FT</t>
        </is>
      </c>
      <c r="B18" s="4" t="inlineStr">
        <is>
          <t>Floor trap / linear drain</t>
        </is>
      </c>
      <c r="C18" s="4" t="inlineStr">
        <is>
          <t>Bath 2 (attached to Bedroom 2)</t>
        </is>
      </c>
      <c r="D18" s="4" t="n">
        <v>26.3</v>
      </c>
      <c r="E18" s="4" t="n">
        <v>24.3</v>
      </c>
      <c r="F18" s="4" t="inlineStr">
        <is>
          <t>linear drain along the north wall</t>
        </is>
      </c>
    </row>
    <row r="19">
      <c r="A19" s="4" t="inlineStr">
        <is>
          <t>FT</t>
        </is>
      </c>
      <c r="B19" s="4" t="inlineStr">
        <is>
          <t>Floor trap / linear drain</t>
        </is>
      </c>
      <c r="C19" s="4" t="inlineStr">
        <is>
          <t>Bath 2 (attached to Bedroom 2)</t>
        </is>
      </c>
      <c r="D19" s="4" t="n">
        <v>24.6</v>
      </c>
      <c r="E19" s="4" t="n">
        <v>19.7</v>
      </c>
      <c r="F19" s="4" t="inlineStr">
        <is>
          <t>dry zone trap</t>
        </is>
      </c>
    </row>
    <row r="20">
      <c r="A20" s="4" t="inlineStr">
        <is>
          <t>SK</t>
        </is>
      </c>
      <c r="B20" s="4" t="inlineStr">
        <is>
          <t>Sink</t>
        </is>
      </c>
      <c r="C20" s="4" t="inlineStr">
        <is>
          <t>Wet area (open to the walkway)</t>
        </is>
      </c>
      <c r="D20" s="4" t="n">
        <v>51.85</v>
      </c>
      <c r="E20" s="4" t="n">
        <v>4.6</v>
      </c>
      <c r="F20" s="4" t="inlineStr">
        <is>
          <t>utility sink</t>
        </is>
      </c>
    </row>
    <row r="21">
      <c r="A21" s="4" t="inlineStr">
        <is>
          <t>WM</t>
        </is>
      </c>
      <c r="B21" s="4" t="inlineStr">
        <is>
          <t>Washing-machine inlet + drain</t>
        </is>
      </c>
      <c r="C21" s="4" t="inlineStr">
        <is>
          <t>Wet area (open to the walkway)</t>
        </is>
      </c>
      <c r="D21" s="4" t="n">
        <v>49.35</v>
      </c>
      <c r="E21" s="4" t="n">
        <v>7.85</v>
      </c>
      <c r="F21" s="4" t="inlineStr"/>
    </row>
    <row r="22">
      <c r="A22" s="4" t="inlineStr">
        <is>
          <t>FT</t>
        </is>
      </c>
      <c r="B22" s="4" t="inlineStr">
        <is>
          <t>Floor trap / linear drain</t>
        </is>
      </c>
      <c r="C22" s="4" t="inlineStr">
        <is>
          <t>Wet area (open to the walkway)</t>
        </is>
      </c>
      <c r="D22" s="4" t="n">
        <v>49.8</v>
      </c>
      <c r="E22" s="4" t="n">
        <v>3.6</v>
      </c>
      <c r="F22" s="4" t="inlineStr">
        <is>
          <t>floor falls out to the walkway</t>
        </is>
      </c>
    </row>
    <row r="23">
      <c r="A23" s="4" t="inlineStr">
        <is>
          <t>TAP</t>
        </is>
      </c>
      <c r="B23" s="4" t="inlineStr">
        <is>
          <t>Tap</t>
        </is>
      </c>
      <c r="C23" s="4" t="inlineStr">
        <is>
          <t>Wet area (open to the walkway)</t>
        </is>
      </c>
      <c r="D23" s="4" t="n">
        <v>52.6</v>
      </c>
      <c r="E23" s="4" t="n">
        <v>3.4</v>
      </c>
      <c r="F23" s="4" t="inlineStr">
        <is>
          <t>bucket tap, low</t>
        </is>
      </c>
    </row>
    <row r="24">
      <c r="A24" s="4" t="inlineStr">
        <is>
          <t>BS</t>
        </is>
      </c>
      <c r="B24" s="4" t="inlineStr">
        <is>
          <t>Wash basin</t>
        </is>
      </c>
      <c r="C24" s="4" t="inlineStr">
        <is>
          <t>Sitting and serving area (open)</t>
        </is>
      </c>
      <c r="D24" s="4" t="n">
        <v>40.2</v>
      </c>
      <c r="E24" s="4" t="n">
        <v>4.3</v>
      </c>
      <c r="F24" s="4" t="inlineStr">
        <is>
          <t>hand-wash basin outside the common bath, waste straight out to the south walkway</t>
        </is>
      </c>
    </row>
    <row r="25">
      <c r="A25" s="4" t="inlineStr">
        <is>
          <t>SK</t>
        </is>
      </c>
      <c r="B25" s="4" t="inlineStr">
        <is>
          <t>Sink</t>
        </is>
      </c>
      <c r="C25" s="4" t="inlineStr">
        <is>
          <t>Kitchen</t>
        </is>
      </c>
      <c r="D25" s="4" t="n">
        <v>60.5</v>
      </c>
      <c r="E25" s="4" t="n">
        <v>3.5</v>
      </c>
      <c r="F25" s="4" t="inlineStr">
        <is>
          <t>single bowl + drainboard, under window</t>
        </is>
      </c>
    </row>
    <row r="26">
      <c r="A26" s="4" t="inlineStr">
        <is>
          <t>RO</t>
        </is>
      </c>
      <c r="B26" s="4" t="inlineStr">
        <is>
          <t>RO purifier point</t>
        </is>
      </c>
      <c r="C26" s="4" t="inlineStr">
        <is>
          <t>Kitchen</t>
        </is>
      </c>
      <c r="D26" s="4" t="n">
        <v>59.3</v>
      </c>
      <c r="E26" s="4" t="n">
        <v>3.5</v>
      </c>
      <c r="F26" s="4" t="inlineStr"/>
    </row>
    <row r="27">
      <c r="A27" s="4" t="inlineStr">
        <is>
          <t>FT</t>
        </is>
      </c>
      <c r="B27" s="4" t="inlineStr">
        <is>
          <t>Floor trap / linear drain</t>
        </is>
      </c>
      <c r="C27" s="4" t="inlineStr">
        <is>
          <t>Kitchen</t>
        </is>
      </c>
      <c r="D27" s="4" t="n">
        <v>64</v>
      </c>
      <c r="E27" s="4" t="n">
        <v>12.5</v>
      </c>
      <c r="F27" s="4" t="inlineStr">
        <is>
          <t>cleaning trap</t>
        </is>
      </c>
    </row>
    <row r="28">
      <c r="A28" s="4" t="inlineStr">
        <is>
          <t>TAP</t>
        </is>
      </c>
      <c r="B28" s="4" t="inlineStr">
        <is>
          <t>Tap</t>
        </is>
      </c>
      <c r="C28" s="4" t="inlineStr">
        <is>
          <t>Site</t>
        </is>
      </c>
      <c r="D28" s="4" t="n">
        <v>69.59999999999999</v>
      </c>
      <c r="E28" s="4" t="n">
        <v>13.6</v>
      </c>
      <c r="F28" s="4" t="inlineStr">
        <is>
          <t>foot-wash tap at steps</t>
        </is>
      </c>
    </row>
    <row r="29">
      <c r="A29" s="4" t="inlineStr">
        <is>
          <t>TAP</t>
        </is>
      </c>
      <c r="B29" s="4" t="inlineStr">
        <is>
          <t>Tap</t>
        </is>
      </c>
      <c r="C29" s="4" t="inlineStr">
        <is>
          <t>Site</t>
        </is>
      </c>
      <c r="D29" s="4" t="n">
        <v>4.4</v>
      </c>
      <c r="E29" s="4" t="n">
        <v>10</v>
      </c>
      <c r="F29" s="4" t="inlineStr">
        <is>
          <t>garden tap</t>
        </is>
      </c>
    </row>
    <row r="30">
      <c r="A30" s="4" t="inlineStr">
        <is>
          <t>TAP</t>
        </is>
      </c>
      <c r="B30" s="4" t="inlineStr">
        <is>
          <t>Tap</t>
        </is>
      </c>
      <c r="C30" s="4" t="inlineStr">
        <is>
          <t>Site</t>
        </is>
      </c>
      <c r="D30" s="4" t="n">
        <v>71.2</v>
      </c>
      <c r="E30" s="4" t="n">
        <v>22</v>
      </c>
      <c r="F30" s="4" t="inlineStr">
        <is>
          <t>tulsi / garden tap</t>
        </is>
      </c>
    </row>
    <row r="31">
      <c r="A31" s="4" t="inlineStr">
        <is>
          <t>IC</t>
        </is>
      </c>
      <c r="B31" s="4" t="inlineStr">
        <is>
          <t>Inspection chamber</t>
        </is>
      </c>
      <c r="C31" s="4" t="inlineStr">
        <is>
          <t>Site</t>
        </is>
      </c>
      <c r="D31" s="4" t="n">
        <v>3.6</v>
      </c>
      <c r="E31" s="4" t="n">
        <v>19.5</v>
      </c>
      <c r="F31" s="4" t="inlineStr">
        <is>
          <t>IC-1 soil</t>
        </is>
      </c>
    </row>
    <row r="32">
      <c r="A32" s="4" t="inlineStr">
        <is>
          <t>IC</t>
        </is>
      </c>
      <c r="B32" s="4" t="inlineStr">
        <is>
          <t>Inspection chamber</t>
        </is>
      </c>
      <c r="C32" s="4" t="inlineStr">
        <is>
          <t>Site</t>
        </is>
      </c>
      <c r="D32" s="4" t="n">
        <v>46.8</v>
      </c>
      <c r="E32" s="4" t="n">
        <v>1.8</v>
      </c>
      <c r="F32" s="4" t="inlineStr">
        <is>
          <t>IC-2 soil</t>
        </is>
      </c>
    </row>
    <row r="33">
      <c r="A33" s="4" t="inlineStr">
        <is>
          <t>IC</t>
        </is>
      </c>
      <c r="B33" s="4" t="inlineStr">
        <is>
          <t>Inspection chamber</t>
        </is>
      </c>
      <c r="C33" s="4" t="inlineStr">
        <is>
          <t>Site</t>
        </is>
      </c>
      <c r="D33" s="4" t="n">
        <v>3.6</v>
      </c>
      <c r="E33" s="4" t="n">
        <v>26.6</v>
      </c>
      <c r="F33" s="4" t="inlineStr">
        <is>
          <t>IC-3 soil</t>
        </is>
      </c>
    </row>
    <row r="34">
      <c r="A34" s="4" t="inlineStr">
        <is>
          <t>IC</t>
        </is>
      </c>
      <c r="B34" s="4" t="inlineStr">
        <is>
          <t>Inspection chamber</t>
        </is>
      </c>
      <c r="C34" s="4" t="inlineStr">
        <is>
          <t>Site</t>
        </is>
      </c>
      <c r="D34" s="4" t="n">
        <v>12</v>
      </c>
      <c r="E34" s="4" t="n">
        <v>26.6</v>
      </c>
      <c r="F34" s="4" t="inlineStr">
        <is>
          <t>IC-4 soil</t>
        </is>
      </c>
    </row>
    <row r="35">
      <c r="A35" s="4" t="inlineStr">
        <is>
          <t>GT</t>
        </is>
      </c>
      <c r="B35" s="4" t="inlineStr">
        <is>
          <t>Grease trap</t>
        </is>
      </c>
      <c r="C35" s="4" t="inlineStr">
        <is>
          <t>Site</t>
        </is>
      </c>
      <c r="D35" s="4" t="n">
        <v>60.5</v>
      </c>
      <c r="E35" s="4" t="n">
        <v>1</v>
      </c>
      <c r="F35" s="4" t="inlineStr">
        <is>
          <t>grease trap</t>
        </is>
      </c>
    </row>
    <row r="36">
      <c r="A36" s="4" t="inlineStr">
        <is>
          <t>IC</t>
        </is>
      </c>
      <c r="B36" s="4" t="inlineStr">
        <is>
          <t>Inspection chamber</t>
        </is>
      </c>
      <c r="C36" s="4" t="inlineStr">
        <is>
          <t>Site</t>
        </is>
      </c>
      <c r="D36" s="4" t="n">
        <v>49.8</v>
      </c>
      <c r="E36" s="4" t="n">
        <v>1</v>
      </c>
      <c r="F36" s="4" t="inlineStr">
        <is>
          <t>IC-5 grey</t>
        </is>
      </c>
    </row>
    <row r="37">
      <c r="A37" s="4" t="inlineStr">
        <is>
          <t>IC</t>
        </is>
      </c>
      <c r="B37" s="4" t="inlineStr">
        <is>
          <t>Inspection chamber</t>
        </is>
      </c>
      <c r="C37" s="4" t="inlineStr">
        <is>
          <t>Site</t>
        </is>
      </c>
      <c r="D37" s="4" t="n">
        <v>3.6</v>
      </c>
      <c r="E37" s="4" t="n">
        <v>1.8</v>
      </c>
      <c r="F37" s="4" t="inlineStr">
        <is>
          <t>IC-6 soil bend</t>
        </is>
      </c>
    </row>
    <row r="38">
      <c r="A38" s="4" t="inlineStr">
        <is>
          <t>IC</t>
        </is>
      </c>
      <c r="B38" s="4" t="inlineStr">
        <is>
          <t>Inspection chamber</t>
        </is>
      </c>
      <c r="C38" s="4" t="inlineStr">
        <is>
          <t>Site</t>
        </is>
      </c>
      <c r="D38" s="4" t="n">
        <v>4.2</v>
      </c>
      <c r="E38" s="4" t="n">
        <v>1</v>
      </c>
      <c r="F38" s="4" t="inlineStr">
        <is>
          <t>IC-7 grey</t>
        </is>
      </c>
    </row>
    <row r="39">
      <c r="A39" s="4" t="inlineStr">
        <is>
          <t>IC</t>
        </is>
      </c>
      <c r="B39" s="4" t="inlineStr">
        <is>
          <t>Inspection chamber</t>
        </is>
      </c>
      <c r="C39" s="4" t="inlineStr">
        <is>
          <t>Site</t>
        </is>
      </c>
      <c r="D39" s="4" t="n">
        <v>4.2</v>
      </c>
      <c r="E39" s="4" t="n">
        <v>26</v>
      </c>
      <c r="F39" s="4" t="inlineStr">
        <is>
          <t>IC-8 grey</t>
        </is>
      </c>
    </row>
    <row r="40">
      <c r="A40" s="4" t="inlineStr">
        <is>
          <t>IC</t>
        </is>
      </c>
      <c r="B40" s="4" t="inlineStr">
        <is>
          <t>Inspection chamber</t>
        </is>
      </c>
      <c r="C40" s="4" t="inlineStr">
        <is>
          <t>Site</t>
        </is>
      </c>
      <c r="D40" s="4" t="n">
        <v>9.6</v>
      </c>
      <c r="E40" s="4" t="n">
        <v>26</v>
      </c>
      <c r="F40" s="4" t="inlineStr">
        <is>
          <t>IC-9 ensuite grey</t>
        </is>
      </c>
    </row>
    <row r="41">
      <c r="A41" s="4" t="inlineStr">
        <is>
          <t>IC</t>
        </is>
      </c>
      <c r="B41" s="4" t="inlineStr">
        <is>
          <t>Inspection chamber</t>
        </is>
      </c>
      <c r="C41" s="4" t="inlineStr">
        <is>
          <t>Site</t>
        </is>
      </c>
      <c r="D41" s="4" t="n">
        <v>22.5</v>
      </c>
      <c r="E41" s="4" t="n">
        <v>26.6</v>
      </c>
      <c r="F41" s="4" t="inlineStr">
        <is>
          <t>IC-10 Bath 2 soil</t>
        </is>
      </c>
    </row>
    <row r="42">
      <c r="A42" s="4" t="inlineStr">
        <is>
          <t>IC</t>
        </is>
      </c>
      <c r="B42" s="4" t="inlineStr">
        <is>
          <t>Inspection chamber</t>
        </is>
      </c>
      <c r="C42" s="4" t="inlineStr">
        <is>
          <t>Site</t>
        </is>
      </c>
      <c r="D42" s="4" t="n">
        <v>26.4</v>
      </c>
      <c r="E42" s="4" t="n">
        <v>26</v>
      </c>
      <c r="F42" s="4" t="inlineStr">
        <is>
          <t>IC-11 Bath 2 grey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9"/>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60" customWidth="1" min="3" max="3"/>
    <col width="14" customWidth="1" min="4" max="4"/>
    <col width="14" customWidth="1" min="5" max="5"/>
  </cols>
  <sheetData>
    <row r="1" ht="30" customHeight="1">
      <c r="A1" s="3" t="inlineStr">
        <is>
          <t>Area</t>
        </is>
      </c>
      <c r="B1" s="3" t="inlineStr">
        <is>
          <t>Common mistake</t>
        </is>
      </c>
      <c r="C1" s="3" t="inlineStr">
        <is>
          <t>Do instead</t>
        </is>
      </c>
      <c r="D1" s="3" t="inlineStr">
        <is>
          <t>Shown on</t>
        </is>
      </c>
      <c r="E1" s="3" t="inlineStr">
        <is>
          <t>Status</t>
        </is>
      </c>
    </row>
    <row r="2">
      <c r="A2" s="4" t="inlineStr">
        <is>
          <t>Whole house: structure and site (Guntur)</t>
        </is>
      </c>
      <c r="B2" s="4" t="inlineStr">
        <is>
          <t>Ordinary shallow footings on black cotton soil: walls crack after the first monsoon as the soil swells and shrinks.</t>
        </is>
      </c>
      <c r="C2" s="4" t="inlineStr">
        <is>
          <t>Get a soil test first. Take footings below the active zone or use under-reamed piles, tie them with a plinth beam, and put a sand cushion under it.</t>
        </is>
      </c>
      <c r="D2" s="4" t="inlineStr">
        <is>
          <t>A-301, A-501/1</t>
        </is>
      </c>
      <c r="E2" s="8" t="inlineStr"/>
    </row>
    <row r="3">
      <c r="A3" s="4" t="inlineStr">
        <is>
          <t>Whole house: structure and site (Guntur)</t>
        </is>
      </c>
      <c r="B3" s="4" t="inlineStr">
        <is>
          <t>Filling the plinth with the black soil dug out of the foundations: the floor heaves and cracks.</t>
        </is>
      </c>
      <c r="C3" s="4" t="inlineStr">
        <is>
          <t>Fill with moorum or gravel compacted in 150 mm layers. Cart the black soil away or use it in the garden.</t>
        </is>
      </c>
      <c r="D3" s="4" t="inlineStr">
        <is>
          <t>A-501/1</t>
        </is>
      </c>
      <c r="E3" s="8" t="inlineStr"/>
    </row>
    <row r="4">
      <c r="A4" s="4" t="inlineStr">
        <is>
          <t>Whole house: structure and site (Guntur)</t>
        </is>
      </c>
      <c r="B4" s="4" t="inlineStr">
        <is>
          <t>Rainwater, garden beds and soak pits right next to the walls.</t>
        </is>
      </c>
      <c r="C4" s="4" t="inlineStr">
        <is>
          <t>Lay a 3 ft paved apron sloping away, run gutters to the sump, and keep soak pits and septic 6 ft+ away (here they are in the north strip).</t>
        </is>
      </c>
      <c r="D4" s="4" t="inlineStr">
        <is>
          <t>A-101, P-101</t>
        </is>
      </c>
      <c r="E4" s="8" t="inlineStr"/>
    </row>
    <row r="5">
      <c r="A5" s="4" t="inlineStr">
        <is>
          <t>Whole house: structure and site (Guntur)</t>
        </is>
      </c>
      <c r="B5" s="4" t="inlineStr">
        <is>
          <t>Planting neem, mango or coconut trees close to the house for shade: roots dry the soil and the walls crack.</t>
        </is>
      </c>
      <c r="C5" s="4" t="inlineStr">
        <is>
          <t>Keep big trees 8 ft+ away (ideally their mature height). Shade the west wall with a creeper pergola instead.</t>
        </is>
      </c>
      <c r="D5" s="4" t="inlineStr">
        <is>
          <t>A-101</t>
        </is>
      </c>
      <c r="E5" s="8" t="inlineStr"/>
    </row>
    <row r="6">
      <c r="A6" s="4" t="inlineStr">
        <is>
          <t>Whole house: structure and site (Guntur)</t>
        </is>
      </c>
      <c r="B6" s="4" t="inlineStr">
        <is>
          <t>Plinth set at road level on farm land: roads and neighbouring plots get raised later and rain flows in.</t>
        </is>
      </c>
      <c r="C6" s="4" t="inlineStr">
        <is>
          <t>FFL 2 ft above finished ground and at least 18 in above the road crown. Survey levels before fixing it.</t>
        </is>
      </c>
      <c r="D6" s="4" t="inlineStr">
        <is>
          <t>A-001, A-301</t>
        </is>
      </c>
      <c r="E6" s="8" t="inlineStr"/>
    </row>
    <row r="7">
      <c r="A7" s="4" t="inlineStr">
        <is>
          <t>Whole house: structure and site (Guntur)</t>
        </is>
      </c>
      <c r="B7" s="4" t="inlineStr">
        <is>
          <t>Skipping the anti-termite treatment or doing it after the floor.</t>
        </is>
      </c>
      <c r="C7" s="4" t="inlineStr">
        <is>
          <t>Treat before the plinth fill, at each fill layer and along the walls; get a certificate with a warranty.</t>
        </is>
      </c>
      <c r="D7" s="4" t="inlineStr">
        <is>
          <t>A-001</t>
        </is>
      </c>
      <c r="E7" s="8" t="inlineStr"/>
    </row>
    <row r="8">
      <c r="A8" s="4" t="inlineStr">
        <is>
          <t>Whole house: structure and site (Guntur)</t>
        </is>
      </c>
      <c r="B8" s="4" t="inlineStr">
        <is>
          <t>Treating AAC like brick: no mesh at joints, chases cut with a hammer. Hairline cracks appear everywhere.</t>
        </is>
      </c>
      <c r="C8" s="4" t="inlineStr">
        <is>
          <t>Put a mesh strip over every block-to-concrete joint, cut chases with a machine, and use thin-bed mortar.</t>
        </is>
      </c>
      <c r="D8" s="4" t="inlineStr">
        <is>
          <t>A-502/8</t>
        </is>
      </c>
      <c r="E8" s="8" t="inlineStr"/>
    </row>
    <row r="9">
      <c r="A9" s="4" t="inlineStr">
        <is>
          <t>Whole house: structure and site (Guntur)</t>
        </is>
      </c>
      <c r="B9" s="4" t="inlineStr">
        <is>
          <t>No lintel band or ring beam: risky in seismic zone III, and the roof trusses have nothing solid to bolt to.</t>
        </is>
      </c>
      <c r="C9" s="4" t="inlineStr">
        <is>
          <t>Run a continuous RCC lintel band at door height and a ring beam at wall top with holding-down bolts.</t>
        </is>
      </c>
      <c r="D9" s="4" t="inlineStr">
        <is>
          <t>A-301, A-501/4</t>
        </is>
      </c>
      <c r="E9" s="8" t="inlineStr"/>
    </row>
    <row r="10">
      <c r="A10" s="4" t="inlineStr">
        <is>
          <t>Whole house: structure and site (Guntur)</t>
        </is>
      </c>
      <c r="B10" s="4" t="inlineStr">
        <is>
          <t>No record of where pipes and wires run: someone drills into a pipe years later.</t>
        </is>
      </c>
      <c r="C10" s="4" t="inlineStr">
        <is>
          <t>Photograph every wall with a tape measure in view before plaster and keep the photos with the drawings.</t>
        </is>
      </c>
      <c r="D10" s="4" t="inlineStr">
        <is>
          <t>A-001</t>
        </is>
      </c>
      <c r="E10" s="8" t="inlineStr"/>
    </row>
    <row r="11">
      <c r="A11" s="4" t="inlineStr">
        <is>
          <t>Poomukham and entrance</t>
        </is>
      </c>
      <c r="B11" s="4" t="inlineStr">
        <is>
          <t>Polished granite on steps and verandah: slippery when wet.</t>
        </is>
      </c>
      <c r="C11" s="4" t="inlineStr">
        <is>
          <t>Use flamed or leather-finish granite and give steps a nosing.</t>
        </is>
      </c>
      <c r="D11" s="4" t="inlineStr">
        <is>
          <t>A-105</t>
        </is>
      </c>
      <c r="E11" s="8" t="inlineStr"/>
    </row>
    <row r="12">
      <c r="A12" s="4" t="inlineStr">
        <is>
          <t>Poomukham and entrance</t>
        </is>
      </c>
      <c r="B12" s="4" t="inlineStr">
        <is>
          <t>Uneven steps (the last one different), which make people trip.</t>
        </is>
      </c>
      <c r="C12" s="4" t="inlineStr">
        <is>
          <t>Make all risers 6 in and treads 12 in, with 3 equal risers from ground to verandah.</t>
        </is>
      </c>
      <c r="D12" s="4" t="inlineStr">
        <is>
          <t>A-202, A-301</t>
        </is>
      </c>
      <c r="E12" s="8" t="inlineStr"/>
    </row>
    <row r="13">
      <c r="A13" s="4" t="inlineStr">
        <is>
          <t>Poomukham and entrance</t>
        </is>
      </c>
      <c r="B13" s="4" t="inlineStr">
        <is>
          <t>Verandah floor at the same level as the house: wind-driven rain runs in under the main door.</t>
        </is>
      </c>
      <c r="C13" s="4" t="inlineStr">
        <is>
          <t>Set the poomukham 6 in lower, sloping out 1:100, with a raised weather bar under the main door.</t>
        </is>
      </c>
      <c r="D13" s="4" t="inlineStr">
        <is>
          <t>A-105, A-502/9</t>
        </is>
      </c>
      <c r="E13" s="8" t="inlineStr"/>
    </row>
    <row r="14">
      <c r="A14" s="4" t="inlineStr">
        <is>
          <t>Poomukham and entrance</t>
        </is>
      </c>
      <c r="B14" s="4" t="inlineStr">
        <is>
          <t>No place to wash feet or leave footwear: mud and dust come inside.</t>
        </is>
      </c>
      <c r="C14" s="4" t="inlineStr">
        <is>
          <t>Put a foot-wash tap with a small drain beside the steps, and keep a shoe cupboard just inside the main door (here between the door and the pooja wall).</t>
        </is>
      </c>
      <c r="D14" s="4" t="inlineStr">
        <is>
          <t>P-101, A-103</t>
        </is>
      </c>
      <c r="E14" s="8" t="inlineStr"/>
    </row>
    <row r="15">
      <c r="A15" s="4" t="inlineStr">
        <is>
          <t>Poomukham and entrance</t>
        </is>
      </c>
      <c r="B15" s="4" t="inlineStr">
        <is>
          <t>Oonjal (swing) hung later from the roof purlins.</t>
        </is>
      </c>
      <c r="C15" s="4" t="inlineStr">
        <is>
          <t>Cast or bolt swing hooks into the verandah beam, rated for 200 kg, before the roof goes on.</t>
        </is>
      </c>
      <c r="D15" s="4" t="inlineStr">
        <is>
          <t>A-103</t>
        </is>
      </c>
      <c r="E15" s="8" t="inlineStr"/>
    </row>
    <row r="16">
      <c r="A16" s="4" t="inlineStr">
        <is>
          <t>Poomukham and entrance</t>
        </is>
      </c>
      <c r="B16" s="4" t="inlineStr">
        <is>
          <t>Bell, CCTV and outdoor light added later with surface wiring.</t>
        </is>
      </c>
      <c r="C16" s="4" t="inlineStr">
        <is>
          <t>Run conduits now to the bell, camera, gate light and intercom.</t>
        </is>
      </c>
      <c r="D16" s="4" t="inlineStr">
        <is>
          <t>E-101, E-102</t>
        </is>
      </c>
      <c r="E16" s="8" t="inlineStr"/>
    </row>
    <row r="17">
      <c r="A17" s="4" t="inlineStr">
        <is>
          <t>Living</t>
        </is>
      </c>
      <c r="B17" s="4" t="inlineStr">
        <is>
          <t>TV on a wall facing a window, so glare washes it out.</t>
        </is>
      </c>
      <c r="C17" s="4" t="inlineStr">
        <is>
          <t>Put the TV on the east wall of the living, with the big north window to the side and no window behind or opposite the screen; run a conduit to the router.</t>
        </is>
      </c>
      <c r="D17" s="4" t="inlineStr">
        <is>
          <t>A-103, E-102</t>
        </is>
      </c>
      <c r="E17" s="8" t="inlineStr"/>
    </row>
    <row r="18">
      <c r="A18" s="4" t="inlineStr">
        <is>
          <t>Living</t>
        </is>
      </c>
      <c r="B18" s="4" t="inlineStr">
        <is>
          <t>Too few sockets, leading to extension cords across the floor.</t>
        </is>
      </c>
      <c r="C18" s="4" t="inlineStr">
        <is>
          <t>Fit sockets at both sofa ends, 2 at the TV, and a router socket on the inverter circuit.</t>
        </is>
      </c>
      <c r="D18" s="4" t="inlineStr">
        <is>
          <t>E-102</t>
        </is>
      </c>
      <c r="E18" s="8" t="inlineStr"/>
    </row>
    <row r="19">
      <c r="A19" s="4" t="inlineStr">
        <is>
          <t>Living</t>
        </is>
      </c>
      <c r="B19" s="4" t="inlineStr">
        <is>
          <t>Fan on a short rod under a high sloped ceiling: weak breeze.</t>
        </is>
      </c>
      <c r="C19" s="4" t="inlineStr">
        <is>
          <t>Use a long downrod so the blades sit about 9 ft above the floor, hung from a hook fixed to the truss.</t>
        </is>
      </c>
      <c r="D19" s="4" t="inlineStr">
        <is>
          <t>E-101</t>
        </is>
      </c>
      <c r="E19" s="8" t="inlineStr"/>
    </row>
    <row r="20">
      <c r="A20" s="4" t="inlineStr">
        <is>
          <t>Living</t>
        </is>
      </c>
      <c r="B20" s="4" t="inlineStr">
        <is>
          <t>Large west or south glazing: the room overheats in April-May.</t>
        </is>
      </c>
      <c r="C20" s="4" t="inlineStr">
        <is>
          <t>Glaze to the north; light from the east comes in through the main door and poomukham; south only through jalis and sunshaded windows.</t>
        </is>
      </c>
      <c r="D20" s="4" t="inlineStr">
        <is>
          <t>A-201</t>
        </is>
      </c>
      <c r="E20" s="8" t="inlineStr"/>
    </row>
    <row r="21">
      <c r="A21" s="4" t="inlineStr">
        <is>
          <t>Living</t>
        </is>
      </c>
      <c r="B21" s="4" t="inlineStr">
        <is>
          <t>Main door swinging into the sofa or the DB.</t>
        </is>
      </c>
      <c r="C21" s="4" t="inlineStr">
        <is>
          <t>Check door swings against the furniture; put the DB away from the door and the pooja (here on the dining face of Bedroom 2's east wall).</t>
        </is>
      </c>
      <c r="D21" s="4" t="inlineStr">
        <is>
          <t>A-103, E-102</t>
        </is>
      </c>
      <c r="E21" s="8" t="inlineStr"/>
    </row>
    <row r="22">
      <c r="A22" s="4" t="inlineStr">
        <is>
          <t>Dining and ventilator</t>
        </is>
      </c>
      <c r="B22" s="4" t="inlineStr">
        <is>
          <t>Glass skylight over the dining: a greenhouse in Guntur summers that leaks and needs constant cleaning.</t>
        </is>
      </c>
      <c r="C22" s="4" t="inlineStr">
        <is>
          <t>No glass. Light comes in from the living, the nook's south window and the hall; a raised ventilator with a solid insulated roof and louvres on all four sides lets the hot air rising from the house escape.</t>
        </is>
      </c>
      <c r="D22" s="4" t="inlineStr">
        <is>
          <t>A-106, A-301</t>
        </is>
      </c>
      <c r="E22" s="8" t="inlineStr"/>
    </row>
    <row r="23">
      <c r="A23" s="4" t="inlineStr">
        <is>
          <t>Dining and ventilator</t>
        </is>
      </c>
      <c r="B23" s="4" t="inlineStr">
        <is>
          <t>Flat-topped roof ventilator: water ponds, leaves and droppings collect, and it leaks first.</t>
        </is>
      </c>
      <c r="C23" s="4" t="inlineStr">
        <is>
          <t>Give it a small hipped roof at the main roof pitch, tiled and clipped, with a 1'-6" overhang and drip edge.</t>
        </is>
      </c>
      <c r="D23" s="4" t="inlineStr">
        <is>
          <t>A-503</t>
        </is>
      </c>
      <c r="E23" s="8" t="inlineStr"/>
    </row>
    <row r="24">
      <c r="A24" s="4" t="inlineStr">
        <is>
          <t>Dining and ventilator</t>
        </is>
      </c>
      <c r="B24" s="4" t="inlineStr">
        <is>
          <t>Flat or shallow louvres: cyclone rain blows straight through.</t>
        </is>
      </c>
      <c r="C24" s="4" t="inlineStr">
        <is>
          <t>45 deg blades sloping down and out with a 4 in lap (no straight line through), on a sill sloped out 1:10 with a drip.</t>
        </is>
      </c>
      <c r="D24" s="4" t="inlineStr">
        <is>
          <t>A-503</t>
        </is>
      </c>
      <c r="E24" s="8" t="inlineStr"/>
    </row>
    <row r="25">
      <c r="A25" s="4" t="inlineStr">
        <is>
          <t>Dining and ventilator</t>
        </is>
      </c>
      <c r="B25" s="4" t="inlineStr">
        <is>
          <t>Relying on louvres to stop mosquitoes: they don't.</t>
        </is>
      </c>
      <c r="C25" s="4" t="inlineStr">
        <is>
          <t>SS 304 mesh about 1.2 mm (18 x 16) in a continuous frame sealed at every corner, reachable from inside for cleaning.</t>
        </is>
      </c>
      <c r="D25" s="4" t="inlineStr">
        <is>
          <t>A-503</t>
        </is>
      </c>
      <c r="E25" s="8" t="inlineStr"/>
    </row>
    <row r="26">
      <c r="A26" s="4" t="inlineStr">
        <is>
          <t>Dining and ventilator</t>
        </is>
      </c>
      <c r="B26" s="4" t="inlineStr">
        <is>
          <t>Vent shutters that leak, or need a ladder to open.</t>
        </is>
      </c>
      <c r="C26" s="4" t="inlineStr">
        <is>
          <t>Inner shutters with rubber (EPDM) seals so AC air stays in, worked by a winding handle or cord at hand height.</t>
        </is>
      </c>
      <c r="D26" s="4" t="inlineStr">
        <is>
          <t>A-503</t>
        </is>
      </c>
      <c r="E26" s="8" t="inlineStr"/>
    </row>
    <row r="27">
      <c r="A27" s="4" t="inlineStr">
        <is>
          <t>Dining and ventilator</t>
        </is>
      </c>
      <c r="B27" s="4" t="inlineStr">
        <is>
          <t>Ventilator opening straight into the roof space: attic heat and dust pour into the dining.</t>
        </is>
      </c>
      <c r="C27" s="4" t="inlineStr">
        <is>
          <t>Line the shaft from the dining ceiling to the ventilator sill with insulated fibre-cement board.</t>
        </is>
      </c>
      <c r="D27" s="4" t="inlineStr">
        <is>
          <t>A-503, A-301</t>
        </is>
      </c>
      <c r="E27" s="8" t="inlineStr"/>
    </row>
    <row r="28">
      <c r="A28" s="4" t="inlineStr">
        <is>
          <t>Dining and ventilator</t>
        </is>
      </c>
      <c r="B28" s="4" t="inlineStr">
        <is>
          <t>Dining and hall feel dim with no skylight.</t>
        </is>
      </c>
      <c r="C28" s="4" t="inlineStr">
        <is>
          <t>Use light wall and ceiling colours; the dining is now open to the living, the 6 ft hall and the nook window. If it still feels dark after move-in, a sun tube can be added later with little work.</t>
        </is>
      </c>
      <c r="D28" s="4" t="inlineStr">
        <is>
          <t>E-101</t>
        </is>
      </c>
      <c r="E28" s="8" t="inlineStr"/>
    </row>
    <row r="29">
      <c r="A29" s="4" t="inlineStr">
        <is>
          <t>Dining and ventilator</t>
        </is>
      </c>
      <c r="B29" s="4" t="inlineStr">
        <is>
          <t>Table too big for the room: chairs hit the walls.</t>
        </is>
      </c>
      <c r="C29" s="4" t="inlineStr">
        <is>
          <t>Clear size is about 8'9" x 7'6". A 6-seat 5 x 3 ft table leaves about 2'3" each side, so use a 4-seat or round table, or let it spill into the hall.</t>
        </is>
      </c>
      <c r="D29" s="4" t="inlineStr">
        <is>
          <t>A-104</t>
        </is>
      </c>
      <c r="E29" s="8" t="inlineStr"/>
    </row>
    <row r="30">
      <c r="A30" s="4" t="inlineStr">
        <is>
          <t>Hand-wash basin (serving counter)</t>
        </is>
      </c>
      <c r="B30" s="4" t="inlineStr">
        <is>
          <t>Painted wall behind the basin: stains and peeling.</t>
        </is>
      </c>
      <c r="C30" s="4" t="inlineStr">
        <is>
          <t>Put a stone or tile splash-back 2 ft high above the basin.</t>
        </is>
      </c>
      <c r="D30" s="4" t="inlineStr">
        <is>
          <t>A-502/7</t>
        </is>
      </c>
      <c r="E30" s="8" t="inlineStr"/>
    </row>
    <row r="31">
      <c r="A31" s="4" t="inlineStr">
        <is>
          <t>Hand-wash basin (serving counter)</t>
        </is>
      </c>
      <c r="B31" s="4" t="inlineStr">
        <is>
          <t>Basin too high or low, or on a pedestal that traps dirt.</t>
        </is>
      </c>
      <c r="C31" s="4" t="inlineStr">
        <is>
          <t>Use a wall-hung basin with the rim at 32 in and a bottle trap, so the floor stays clear.</t>
        </is>
      </c>
      <c r="D31" s="4" t="inlineStr">
        <is>
          <t>A-502/7</t>
        </is>
      </c>
      <c r="E31" s="8" t="inlineStr"/>
    </row>
    <row r="32">
      <c r="A32" s="4" t="inlineStr">
        <is>
          <t>Hand-wash basin (serving counter)</t>
        </is>
      </c>
      <c r="B32" s="4" t="inlineStr">
        <is>
          <t>Light behind the mirror, which leaves faces in shadow; socket next to the tap.</t>
        </is>
      </c>
      <c r="C32" s="4" t="inlineStr">
        <is>
          <t>Put the light above the mirror and keep the socket 2 ft from the tap at 42 in.</t>
        </is>
      </c>
      <c r="D32" s="4" t="inlineStr">
        <is>
          <t>A-502/7, E-101</t>
        </is>
      </c>
      <c r="E32" s="8" t="inlineStr"/>
    </row>
    <row r="33">
      <c r="A33" s="4" t="inlineStr">
        <is>
          <t>Kitchen</t>
        </is>
      </c>
      <c r="B33" s="4" t="inlineStr">
        <is>
          <t>Counter at the Western 36 in height: tiring for Indian cooking with tall vessels.</t>
        </is>
      </c>
      <c r="C33" s="4" t="inlineStr">
        <is>
          <t>Make the counter 34 in, with a 30-31 in section for grinding and rolling chapatis.</t>
        </is>
      </c>
      <c r="D33" s="4" t="inlineStr">
        <is>
          <t>A-502/6</t>
        </is>
      </c>
      <c r="E33" s="8" t="inlineStr"/>
    </row>
    <row r="34">
      <c r="A34" s="4" t="inlineStr">
        <is>
          <t>Kitchen</t>
        </is>
      </c>
      <c r="B34" s="4" t="inlineStr">
        <is>
          <t>White glossy floor and counter: shows every turmeric stain and is slippery with oil.</t>
        </is>
      </c>
      <c r="C34" s="4" t="inlineStr">
        <is>
          <t>Use a mid-tone matt floor and a granite counter (local Chimakurthy / Ongole).</t>
        </is>
      </c>
      <c r="D34" s="4" t="inlineStr">
        <is>
          <t>A-105</t>
        </is>
      </c>
      <c r="E34" s="8" t="inlineStr"/>
    </row>
    <row r="35">
      <c r="A35" s="4" t="inlineStr">
        <is>
          <t>Kitchen</t>
        </is>
      </c>
      <c r="B35" s="4" t="inlineStr">
        <is>
          <t>Chimney duct with long bends: weak suction and grease build-up.</t>
        </is>
      </c>
      <c r="C35" s="4" t="inlineStr">
        <is>
          <t>Hob on the east run with the chimney ducted straight out through the east wall.</t>
        </is>
      </c>
      <c r="D35" s="4" t="inlineStr">
        <is>
          <t>A-502/6, E-102</t>
        </is>
      </c>
      <c r="E35" s="8" t="inlineStr"/>
    </row>
    <row r="36">
      <c r="A36" s="4" t="inlineStr">
        <is>
          <t>Kitchen</t>
        </is>
      </c>
      <c r="B36" s="4" t="inlineStr">
        <is>
          <t>Too few counter sockets.</t>
        </is>
      </c>
      <c r="C36" s="4" t="inlineStr">
        <is>
          <t>Fit 5-6 sockets at 42 in plus 16 A for the fridge, microwave / OTG and chimney; RO point by the sink.</t>
        </is>
      </c>
      <c r="D36" s="4" t="inlineStr">
        <is>
          <t>E-102</t>
        </is>
      </c>
      <c r="E36" s="8" t="inlineStr"/>
    </row>
    <row r="37">
      <c r="A37" s="4" t="inlineStr">
        <is>
          <t>Kitchen</t>
        </is>
      </c>
      <c r="B37" s="4" t="inlineStr">
        <is>
          <t>Base cabinets standing on the floor: rot and termites.</t>
        </is>
      </c>
      <c r="C37" s="4" t="inlineStr">
        <is>
          <t>Put cabinets on 4 in legs or a granite plinth.</t>
        </is>
      </c>
      <c r="D37" s="4" t="inlineStr">
        <is>
          <t>A-502/6</t>
        </is>
      </c>
      <c r="E37" s="8" t="inlineStr"/>
    </row>
    <row r="38">
      <c r="A38" s="4" t="inlineStr">
        <is>
          <t>Kitchen</t>
        </is>
      </c>
      <c r="B38" s="4" t="inlineStr">
        <is>
          <t>Gas cylinder in a closed cabinet under the hob.</t>
        </is>
      </c>
      <c r="C38" s="4" t="inlineStr">
        <is>
          <t>Keep the cylinder in the ventilated wet area with a fixed copper / steel line and a valve through the wall.</t>
        </is>
      </c>
      <c r="D38" s="4" t="inlineStr">
        <is>
          <t>A-103</t>
        </is>
      </c>
      <c r="E38" s="8" t="inlineStr"/>
    </row>
    <row r="39">
      <c r="A39" s="4" t="inlineStr">
        <is>
          <t>Kitchen</t>
        </is>
      </c>
      <c r="B39" s="4" t="inlineStr">
        <is>
          <t>Kitchen drain without a grease trap: chokes within a year.</t>
        </is>
      </c>
      <c r="C39" s="4" t="inlineStr">
        <is>
          <t>Put a grease trap outside, before any junction.</t>
        </is>
      </c>
      <c r="D39" s="4" t="inlineStr">
        <is>
          <t>P-101</t>
        </is>
      </c>
      <c r="E39" s="8" t="inlineStr"/>
    </row>
    <row r="40">
      <c r="A40" s="4" t="inlineStr">
        <is>
          <t>Kitchen</t>
        </is>
      </c>
      <c r="B40" s="4" t="inlineStr">
        <is>
          <t>Fridge beside the hob or in direct sun.</t>
        </is>
      </c>
      <c r="C40" s="4" t="inlineStr">
        <is>
          <t>Fridge on the kitchen's north wall behind the pooja, beside the tall pantry and well away from the hob; nothing blocks the counter.</t>
        </is>
      </c>
      <c r="D40" s="4" t="inlineStr">
        <is>
          <t>A-103</t>
        </is>
      </c>
      <c r="E40" s="8" t="inlineStr"/>
    </row>
    <row r="41">
      <c r="A41" s="4" t="inlineStr">
        <is>
          <t>Wet area, storage and kitchen entry</t>
        </is>
      </c>
      <c r="B41" s="4" t="inlineStr">
        <is>
          <t>A narrow kitchen entry squeezed past a TV wall: two people can't pass and serving is awkward.</t>
        </is>
      </c>
      <c r="C41" s="4" t="inlineStr">
        <is>
          <t>The kitchen is entered through a 3 ft hinged door on its west side, straight off the dining alcove: one short trip for serving, and it closes off cooking smoke. The pooja front stays quiet.</t>
        </is>
      </c>
      <c r="D41" s="4" t="inlineStr">
        <is>
          <t>A-102</t>
        </is>
      </c>
      <c r="E41" s="8" t="inlineStr"/>
    </row>
    <row r="42">
      <c r="A42" s="4" t="inlineStr">
        <is>
          <t>Wet area, storage and kitchen entry</t>
        </is>
      </c>
      <c r="B42" s="4" t="inlineStr">
        <is>
          <t>Open wet area floods during heavy rain, or becomes a back door for intruders.</t>
        </is>
      </c>
      <c r="C42" s="4" t="inlineStr">
        <is>
          <t>Keep its floor 3 in below the house, sloping out to the walkway drain; washing machine in the covered back corner; a lockable steel or WPC door into the kitchen, and a back gate in the compound wall.</t>
        </is>
      </c>
      <c r="D42" s="4" t="inlineStr">
        <is>
          <t>A-105, A-502/9</t>
        </is>
      </c>
      <c r="E42" s="8" t="inlineStr"/>
    </row>
    <row r="43">
      <c r="A43" s="4" t="inlineStr">
        <is>
          <t>Wet area, storage and kitchen entry</t>
        </is>
      </c>
      <c r="B43" s="4" t="inlineStr">
        <is>
          <t>Washing machine with no tap, drain or socket at the right height.</t>
        </is>
      </c>
      <c r="C43" s="4" t="inlineStr">
        <is>
          <t>Provide a tap at 3 ft, a floor drain behind the machine and a splash-proof 16 A socket at 4 ft.</t>
        </is>
      </c>
      <c r="D43" s="4" t="inlineStr">
        <is>
          <t>P-101, E-102</t>
        </is>
      </c>
      <c r="E43" s="8" t="inlineStr"/>
    </row>
    <row r="44">
      <c r="A44" s="4" t="inlineStr">
        <is>
          <t>Wet area, storage and kitchen entry</t>
        </is>
      </c>
      <c r="B44" s="4" t="inlineStr">
        <is>
          <t>No separate store means provisions end up on the floor.</t>
        </is>
      </c>
      <c r="C44" s="4" t="inlineStr">
        <is>
          <t>Use the storage-bench drawers in the sitting area, lofts above the master bay and kitchen, tall kitchen cabinets; keep rice and grain in sealed bins off the floor.</t>
        </is>
      </c>
      <c r="D44" s="4" t="inlineStr">
        <is>
          <t>A-103</t>
        </is>
      </c>
      <c r="E44" s="8" t="inlineStr"/>
    </row>
    <row r="45">
      <c r="A45" s="4" t="inlineStr">
        <is>
          <t>Wet area, storage and kitchen entry</t>
        </is>
      </c>
      <c r="B45" s="4" t="inlineStr">
        <is>
          <t>Inverter batteries in a bedroom or a closed cupboard.</t>
        </is>
      </c>
      <c r="C45" s="4" t="inlineStr">
        <is>
          <t>Use a lithium inverter battery in a ventilated cabinet under the sitting-area bench, away from water and bedrooms.</t>
        </is>
      </c>
      <c r="D45" s="4" t="inlineStr">
        <is>
          <t>E-102</t>
        </is>
      </c>
      <c r="E45" s="8" t="inlineStr"/>
    </row>
    <row r="46">
      <c r="A46" s="4" t="inlineStr">
        <is>
          <t>Pooja</t>
        </is>
      </c>
      <c r="B46" s="4" t="inlineStr">
        <is>
          <t>Lamp smoke blackens the ceiling and the teak panelling.</t>
        </is>
      </c>
      <c r="C46" s="4" t="inlineStr">
        <is>
          <t>Fit a heat-proof granite or brass back panel behind the diya and a small high vent; use a washable ceiling finish.</t>
        </is>
      </c>
      <c r="D46" s="4" t="inlineStr">
        <is>
          <t>A-105</t>
        </is>
      </c>
      <c r="E46" s="8" t="inlineStr"/>
    </row>
    <row r="47">
      <c r="A47" s="4" t="inlineStr">
        <is>
          <t>Pooja</t>
        </is>
      </c>
      <c r="B47" s="4" t="inlineStr">
        <is>
          <t>Pooja sharing a wall with a toilet.</t>
        </is>
      </c>
      <c r="C47" s="4" t="inlineStr">
        <is>
          <t>Here the pooja sits in the living's south-east corner, back to back with the kitchen (no toilet on any side). It opens west into the living with doors that open inward, idols on its east wall, so the family faces east; the floor is 3 in higher.</t>
        </is>
      </c>
      <c r="D47" s="4" t="inlineStr">
        <is>
          <t>A-102</t>
        </is>
      </c>
      <c r="E47" s="8" t="inlineStr"/>
    </row>
    <row r="48">
      <c r="A48" s="4" t="inlineStr">
        <is>
          <t>Pooja</t>
        </is>
      </c>
      <c r="B48" s="4" t="inlineStr">
        <is>
          <t>Polished marble floor that becomes slippery with oil.</t>
        </is>
      </c>
      <c r="C48" s="4" t="inlineStr">
        <is>
          <t>Use honed (matt) marble or teak.</t>
        </is>
      </c>
      <c r="D48" s="4" t="inlineStr">
        <is>
          <t>A-105</t>
        </is>
      </c>
      <c r="E48" s="8" t="inlineStr"/>
    </row>
    <row r="49">
      <c r="A49" s="4" t="inlineStr">
        <is>
          <t>Bedrooms</t>
        </is>
      </c>
      <c r="B49" s="4" t="inlineStr">
        <is>
          <t>AC indoor unit above the bed head: cold air blows on your head all night.</t>
        </is>
      </c>
      <c r="C49" s="4" t="inlineStr">
        <is>
          <t>Mount the AC on a side or opposite wall, throwing across the bed.</t>
        </is>
      </c>
      <c r="D49" s="4" t="inlineStr">
        <is>
          <t>E-102</t>
        </is>
      </c>
      <c r="E49" s="8" t="inlineStr"/>
    </row>
    <row r="50">
      <c r="A50" s="4" t="inlineStr">
        <is>
          <t>Bedrooms</t>
        </is>
      </c>
      <c r="B50" s="4" t="inlineStr">
        <is>
          <t>Only one switchboard at the door.</t>
        </is>
      </c>
      <c r="C50" s="4" t="inlineStr">
        <is>
          <t>Add 2-way switches at the bed for the light and fan, plus bedside sockets.</t>
        </is>
      </c>
      <c r="D50" s="4" t="inlineStr">
        <is>
          <t>E-101, E-102</t>
        </is>
      </c>
      <c r="E50" s="8" t="inlineStr"/>
    </row>
    <row r="51">
      <c r="A51" s="4" t="inlineStr">
        <is>
          <t>Bedrooms</t>
        </is>
      </c>
      <c r="B51" s="4" t="inlineStr">
        <is>
          <t>Wardrobe shallower than 2 ft: hangers do not fit.</t>
        </is>
      </c>
      <c r="C51" s="4" t="inlineStr">
        <is>
          <t>Make wardrobes 2 ft deep with lofts above to the false ceiling.</t>
        </is>
      </c>
      <c r="D51" s="4" t="inlineStr">
        <is>
          <t>A-103</t>
        </is>
      </c>
      <c r="E51" s="8" t="inlineStr"/>
    </row>
    <row r="52">
      <c r="A52" s="4" t="inlineStr">
        <is>
          <t>Bedrooms</t>
        </is>
      </c>
      <c r="B52" s="4" t="inlineStr">
        <is>
          <t>2'-6" bedroom doors: a mattress or cupboard cannot go in later.</t>
        </is>
      </c>
      <c r="C52" s="4" t="inlineStr">
        <is>
          <t>Make bedroom doors 3'-0".</t>
        </is>
      </c>
      <c r="D52" s="4" t="inlineStr">
        <is>
          <t>A-401</t>
        </is>
      </c>
      <c r="E52" s="8" t="inlineStr"/>
    </row>
    <row r="53">
      <c r="A53" s="4" t="inlineStr">
        <is>
          <t>Bedrooms</t>
        </is>
      </c>
      <c r="B53" s="4" t="inlineStr">
        <is>
          <t>Curtain rods, TV brackets and fan hooks screwed into plain AAC, which pulls out.</t>
        </is>
      </c>
      <c r="C53" s="4" t="inlineStr">
        <is>
          <t>Fix timber grounds or use AAC-rated anchors, marked before plaster.</t>
        </is>
      </c>
      <c r="D53" s="4" t="inlineStr">
        <is>
          <t>A-001</t>
        </is>
      </c>
      <c r="E53" s="8" t="inlineStr"/>
    </row>
    <row r="54">
      <c r="A54" s="4" t="inlineStr">
        <is>
          <t>Bedrooms</t>
        </is>
      </c>
      <c r="B54" s="4" t="inlineStr">
        <is>
          <t>Windows without mesh, so mosquito coils every night.</t>
        </is>
      </c>
      <c r="C54" s="4" t="inlineStr">
        <is>
          <t>Put insect mesh on a separate frame on every opening.</t>
        </is>
      </c>
      <c r="D54" s="4" t="inlineStr">
        <is>
          <t>A-401</t>
        </is>
      </c>
      <c r="E54" s="8" t="inlineStr"/>
    </row>
    <row r="55">
      <c r="A55" s="4" t="inlineStr">
        <is>
          <t>Wardrobes and dressing</t>
        </is>
      </c>
      <c r="B55" s="4" t="inlineStr">
        <is>
          <t>Dark, unventilated store: provisions smell musty in the monsoon and attract insects.</t>
        </is>
      </c>
      <c r="C55" s="4" t="inlineStr">
        <is>
          <t>High jali vent with mesh, a jali above the door, shelves on legs, a light and a socket.</t>
        </is>
      </c>
      <c r="D55" s="4" t="inlineStr">
        <is>
          <t>A-401, E-102</t>
        </is>
      </c>
      <c r="E55" s="8" t="inlineStr"/>
    </row>
    <row r="56">
      <c r="A56" s="4" t="inlineStr">
        <is>
          <t>Wardrobes and dressing</t>
        </is>
      </c>
      <c r="B56" s="4" t="inlineStr">
        <is>
          <t>Clothes stored in a separate walk-in only one person can use, while the house has no store.</t>
        </is>
      </c>
      <c r="C56" s="4" t="inlineStr">
        <is>
          <t>Here the old walk-in is an open wardrobe bay of the master bedroom (sliding wardrobe with lofts), plus a wardrobe in the dressing alcove.</t>
        </is>
      </c>
      <c r="D56" s="4" t="inlineStr">
        <is>
          <t>A-103</t>
        </is>
      </c>
      <c r="E56" s="8" t="inlineStr"/>
    </row>
    <row r="57">
      <c r="A57" s="4" t="inlineStr">
        <is>
          <t>Wardrobes and dressing</t>
        </is>
      </c>
      <c r="B57" s="4" t="inlineStr">
        <is>
          <t>Dressing mirror lit from behind.</t>
        </is>
      </c>
      <c r="C57" s="4" t="inlineStr">
        <is>
          <t>Mount the mirror light above or beside the mirror.</t>
        </is>
      </c>
      <c r="D57" s="4" t="inlineStr">
        <is>
          <t>E-101</t>
        </is>
      </c>
      <c r="E57" s="8" t="inlineStr"/>
    </row>
    <row r="58">
      <c r="A58" s="4" t="inlineStr">
        <is>
          <t>Bathrooms</t>
        </is>
      </c>
      <c r="B58" s="4" t="inlineStr">
        <is>
          <t>Raised step at the bathroom door, which people trip on at night.</t>
        </is>
      </c>
      <c r="C58" s="4" t="inlineStr">
        <is>
          <t>Drop the bathroom 12 mm with a sloped granite threshold and no step.</t>
        </is>
      </c>
      <c r="D58" s="4" t="inlineStr">
        <is>
          <t>A-502/5</t>
        </is>
      </c>
      <c r="E58" s="8" t="inlineStr"/>
    </row>
    <row r="59">
      <c r="A59" s="4" t="inlineStr">
        <is>
          <t>Bathrooms</t>
        </is>
      </c>
      <c r="B59" s="4" t="inlineStr">
        <is>
          <t>Whole floor sloped to one trap: the entire bathroom is always wet.</t>
        </is>
      </c>
      <c r="C59" s="4" t="inlineStr">
        <is>
          <t>Separate wet and dry zones: a linear drain in the shower, the dry zone nearly flat, and a glass partition.</t>
        </is>
      </c>
      <c r="D59" s="4" t="inlineStr">
        <is>
          <t>A-502/5</t>
        </is>
      </c>
      <c r="E59" s="8" t="inlineStr"/>
    </row>
    <row r="60">
      <c r="A60" s="4" t="inlineStr">
        <is>
          <t>Bathrooms</t>
        </is>
      </c>
      <c r="B60" s="4" t="inlineStr">
        <is>
          <t>No waterproofing or flood test: damp skirting in the next bedroom within a year.</t>
        </is>
      </c>
      <c r="C60" s="4" t="inlineStr">
        <is>
          <t>Waterproof the floor, 12 in up the walls and 7 ft in the shower, then do a 48 h flood test before tiling.</t>
        </is>
      </c>
      <c r="D60" s="4" t="inlineStr">
        <is>
          <t>A-502/5, A-001</t>
        </is>
      </c>
      <c r="E60" s="8" t="inlineStr"/>
    </row>
    <row r="61">
      <c r="A61" s="4" t="inlineStr">
        <is>
          <t>Bathrooms</t>
        </is>
      </c>
      <c r="B61" s="4" t="inlineStr">
        <is>
          <t>Wooden door frame standing in the wet floor.</t>
        </is>
      </c>
      <c r="C61" s="4" t="inlineStr">
        <is>
          <t>Use a WPC / FRP shutter with the frame on a granite or WPC block.</t>
        </is>
      </c>
      <c r="D61" s="4" t="inlineStr">
        <is>
          <t>A-401, A-502/9</t>
        </is>
      </c>
      <c r="E61" s="8" t="inlineStr"/>
    </row>
    <row r="62">
      <c r="A62" s="4" t="inlineStr">
        <is>
          <t>Bathrooms</t>
        </is>
      </c>
      <c r="B62" s="4" t="inlineStr">
        <is>
          <t>Exhaust fan blowing into the false ceiling.</t>
        </is>
      </c>
      <c r="C62" s="4" t="inlineStr">
        <is>
          <t>Duct the exhaust fan straight out through the outer wall.</t>
        </is>
      </c>
      <c r="D62" s="4" t="inlineStr">
        <is>
          <t>E-101</t>
        </is>
      </c>
      <c r="E62" s="8" t="inlineStr"/>
    </row>
    <row r="63">
      <c r="A63" s="4" t="inlineStr">
        <is>
          <t>Bathrooms</t>
        </is>
      </c>
      <c r="B63" s="4" t="inlineStr">
        <is>
          <t>Geyser hidden above the false ceiling, which can't be serviced.</t>
        </is>
      </c>
      <c r="C63" s="4" t="inlineStr">
        <is>
          <t>Wall-mount it at 6'-6" with the switch outside; leave a ceiling access panel at the concealed cistern.</t>
        </is>
      </c>
      <c r="D63" s="4" t="inlineStr">
        <is>
          <t>E-102</t>
        </is>
      </c>
      <c r="E63" s="8" t="inlineStr"/>
    </row>
    <row r="64">
      <c r="A64" s="4" t="inlineStr">
        <is>
          <t>Bathrooms</t>
        </is>
      </c>
      <c r="B64" s="4" t="inlineStr">
        <is>
          <t>Black or glossy tiles and chrome fittings with Guntur's hard water: white scale shows everywhere.</t>
        </is>
      </c>
      <c r="C64" s="4" t="inlineStr">
        <is>
          <t>Use light matt tiles and matt / PVD fittings, plus a softener if hardness is high.</t>
        </is>
      </c>
      <c r="D64" s="4" t="inlineStr">
        <is>
          <t>A-105, P-101</t>
        </is>
      </c>
      <c r="E64" s="8" t="inlineStr"/>
    </row>
    <row r="65">
      <c r="A65" s="4" t="inlineStr">
        <is>
          <t>Bathrooms</t>
        </is>
      </c>
      <c r="B65" s="4" t="inlineStr">
        <is>
          <t>Ensuite squeezed to 5 ft wide: about 4'-5" clear, too tight for standard fittings.</t>
        </is>
      </c>
      <c r="C65" s="4" t="inlineStr">
        <is>
          <t>Widened by 1'-6" into the master (about 6'-0" clear): WC on the outer wall, 3'-6" vanity on the wet wall, walk-in shower across the north end. The door opens clear of all three.</t>
        </is>
      </c>
      <c r="D65" s="4" t="inlineStr">
        <is>
          <t>A-103, A-104</t>
        </is>
      </c>
      <c r="E65" s="8" t="inlineStr"/>
    </row>
    <row r="66">
      <c r="A66" s="4" t="inlineStr">
        <is>
          <t>Bathrooms</t>
        </is>
      </c>
      <c r="B66" s="4" t="inlineStr">
        <is>
          <t>No backing for grab bars later.</t>
        </is>
      </c>
      <c r="C66" s="4" t="inlineStr">
        <is>
          <t>Fix blocking in the walls beside the WC and shower now.</t>
        </is>
      </c>
      <c r="D66" s="4" t="inlineStr">
        <is>
          <t>A-502/5</t>
        </is>
      </c>
      <c r="E66" s="8" t="inlineStr"/>
    </row>
    <row r="67">
      <c r="A67" s="4" t="inlineStr">
        <is>
          <t>Work spaces (master-suite workstation and Bedroom 2 table)</t>
        </is>
      </c>
      <c r="B67" s="4" t="inlineStr">
        <is>
          <t>Window behind the screen (silhouette on video calls) or in front of it (glare).</t>
        </is>
      </c>
      <c r="C67" s="4" t="inlineStr">
        <is>
          <t>Put the desk side-on to the window: the workstation gets south light from the side; in Bedroom 2 the table faces the bath wall with the north window to the side.</t>
        </is>
      </c>
      <c r="D67" s="4" t="inlineStr">
        <is>
          <t>A-103</t>
        </is>
      </c>
      <c r="E67" s="8" t="inlineStr"/>
    </row>
    <row r="68">
      <c r="A68" s="4" t="inlineStr">
        <is>
          <t>Work spaces (master-suite workstation and Bedroom 2 table)</t>
        </is>
      </c>
      <c r="B68" s="4" t="inlineStr">
        <is>
          <t>Not enough power or data.</t>
        </is>
      </c>
      <c r="C68" s="4" t="inlineStr">
        <is>
          <t>Fit 2 UPS sockets, 1 normal socket and a Cat6 point at each desk (workstation and Bedroom 2 table), with the router on the inverter.</t>
        </is>
      </c>
      <c r="D68" s="4" t="inlineStr">
        <is>
          <t>E-102</t>
        </is>
      </c>
      <c r="E68" s="8" t="inlineStr"/>
    </row>
    <row r="69">
      <c r="A69" s="4" t="inlineStr">
        <is>
          <t>Work spaces (master-suite workstation and Bedroom 2 table)</t>
        </is>
      </c>
      <c r="B69" s="4" t="inlineStr">
        <is>
          <t>An open workstation in the master suite: calls disturb whoever is resting.</t>
        </is>
      </c>
      <c r="C69" s="4" t="inlineStr">
        <is>
          <t>Walls are left out for now and drawn dashed; if calls become a problem, add the two walls and a sliding glass door later (conduit and lintel can be provided now).</t>
        </is>
      </c>
      <c r="D69" s="4" t="inlineStr">
        <is>
          <t>A-401</t>
        </is>
      </c>
      <c r="E69" s="8" t="inlineStr"/>
    </row>
    <row r="70">
      <c r="A70" s="4" t="inlineStr">
        <is>
          <t>Work spaces (master-suite workstation and Bedroom 2 table)</t>
        </is>
      </c>
      <c r="B70" s="4" t="inlineStr">
        <is>
          <t>Bare wall behind you on video calls.</t>
        </is>
      </c>
      <c r="C70" s="4" t="inlineStr">
        <is>
          <t>Put a bookshelf behind the chair as the backdrop.</t>
        </is>
      </c>
      <c r="D70" s="4" t="inlineStr">
        <is>
          <t>A-103</t>
        </is>
      </c>
      <c r="E70" s="8" t="inlineStr"/>
    </row>
    <row r="71">
      <c r="A71" s="4" t="inlineStr">
        <is>
          <t>Doors and windows</t>
        </is>
      </c>
      <c r="B71" s="4" t="inlineStr">
        <is>
          <t>Solid walls and closed doors between the north and south rooms: no breeze crosses the house at night or during calls.</t>
        </is>
      </c>
      <c r="C71" s="4" t="inlineStr">
        <is>
          <t>Put a vent above inner doors, 7'-6" to 9'-0": open jali for the pooja; none on the lockable door to the open wet area.</t>
        </is>
      </c>
      <c r="D71" s="4" t="inlineStr">
        <is>
          <t>A-401</t>
        </is>
      </c>
      <c r="E71" s="8" t="inlineStr"/>
    </row>
    <row r="72">
      <c r="A72" s="4" t="inlineStr">
        <is>
          <t>Doors and windows</t>
        </is>
      </c>
      <c r="B72" s="4" t="inlineStr">
        <is>
          <t>Open vents above bedroom and bathroom doors: conversation, TV and smells carry into the hall and the next room.</t>
        </is>
      </c>
      <c r="C72" s="4" t="inlineStr">
        <is>
          <t>No vents at bedrooms (their big north windows, ceiling fans and AC are enough for rooms this shallow) or bathrooms (the door's bottom louvre feeds the exhaust fan); the office gets a sealed glazed flap.</t>
        </is>
      </c>
      <c r="D72" s="4" t="inlineStr">
        <is>
          <t>A-401</t>
        </is>
      </c>
      <c r="E72" s="8" t="inlineStr"/>
    </row>
    <row r="73">
      <c r="A73" s="4" t="inlineStr">
        <is>
          <t>Doors and windows</t>
        </is>
      </c>
      <c r="B73" s="4" t="inlineStr">
        <is>
          <t>A 3'-6" hall: two people can't pass, and furniture won't turn the corner.</t>
        </is>
      </c>
      <c r="C73" s="4" t="inlineStr">
        <is>
          <t>Here both bedrooms open off the 15 ft sitting area instead of a narrow hall, so no corridor space is wasted.</t>
        </is>
      </c>
      <c r="D73" s="4" t="inlineStr">
        <is>
          <t>A-104</t>
        </is>
      </c>
      <c r="E73" s="8" t="inlineStr"/>
    </row>
    <row r="74">
      <c r="A74" s="4" t="inlineStr">
        <is>
          <t>Doors and windows</t>
        </is>
      </c>
      <c r="B74" s="4" t="inlineStr">
        <is>
          <t>No drip groove under sills and sunshades: black streaks down the walls.</t>
        </is>
      </c>
      <c r="C74" s="4" t="inlineStr">
        <is>
          <t>Slope every external sill 1:10 with a drip groove, and give every chajja a drip groove under its edge.</t>
        </is>
      </c>
      <c r="D74" s="4" t="inlineStr">
        <is>
          <t>A-501/3</t>
        </is>
      </c>
      <c r="E74" s="8" t="inlineStr"/>
    </row>
    <row r="75">
      <c r="A75" s="4" t="inlineStr">
        <is>
          <t>Doors and windows</t>
        </is>
      </c>
      <c r="B75" s="4" t="inlineStr">
        <is>
          <t>Unseasoned teak that warps and jams.</t>
        </is>
      </c>
      <c r="C75" s="4" t="inlineStr">
        <is>
          <t>Use kiln-seasoned wood, or sal / pinkado frames and UPVC on the wet side.</t>
        </is>
      </c>
      <c r="D75" s="4" t="inlineStr">
        <is>
          <t>A-401</t>
        </is>
      </c>
      <c r="E75" s="8" t="inlineStr"/>
    </row>
    <row r="76">
      <c r="A76" s="4" t="inlineStr">
        <is>
          <t>Doors and windows</t>
        </is>
      </c>
      <c r="B76" s="4" t="inlineStr">
        <is>
          <t>Mild-steel hinges and screws that rust with humidity and hard water.</t>
        </is>
      </c>
      <c r="C76" s="4" t="inlineStr">
        <is>
          <t>Use SS 304 hardware, with magnetic stoppers on every door.</t>
        </is>
      </c>
      <c r="D76" s="4" t="inlineStr">
        <is>
          <t>A-401</t>
        </is>
      </c>
      <c r="E76" s="8" t="inlineStr"/>
    </row>
    <row r="77">
      <c r="A77" s="4" t="inlineStr">
        <is>
          <t>Doors and windows</t>
        </is>
      </c>
      <c r="B77" s="4" t="inlineStr">
        <is>
          <t>Grill with no openable section: no way out in a fire.</t>
        </is>
      </c>
      <c r="C77" s="4" t="inlineStr">
        <is>
          <t>Give each bedroom one escape window with an openable grill.</t>
        </is>
      </c>
      <c r="D77" s="4" t="inlineStr">
        <is>
          <t>A-401</t>
        </is>
      </c>
      <c r="E77" s="8" t="inlineStr"/>
    </row>
    <row r="78">
      <c r="A78" s="4" t="inlineStr">
        <is>
          <t>Floors, walls and finishes</t>
        </is>
      </c>
      <c r="B78" s="4" t="inlineStr">
        <is>
          <t>Skirting stuck on top of the plaster: a dust ledge that also chips.</t>
        </is>
      </c>
      <c r="C78" s="4" t="inlineStr">
        <is>
          <t>Set the skirting flush with the plaster face, with a groove above it.</t>
        </is>
      </c>
      <c r="D78" s="4" t="inlineStr">
        <is>
          <t>A-501/2</t>
        </is>
      </c>
      <c r="E78" s="8" t="inlineStr"/>
    </row>
    <row r="79">
      <c r="A79" s="4" t="inlineStr">
        <is>
          <t>Floors, walls and finishes</t>
        </is>
      </c>
      <c r="B79" s="4" t="inlineStr">
        <is>
          <t>Tiles laid tight to the walls: they pop up (tenting) in 45 C summers.</t>
        </is>
      </c>
      <c r="C79" s="4" t="inlineStr">
        <is>
          <t>Leave 5 mm gaps at walls and movement joints every 15-20 ft, hidden by the skirting.</t>
        </is>
      </c>
      <c r="D79" s="4" t="inlineStr">
        <is>
          <t>A-501/2, A-105</t>
        </is>
      </c>
      <c r="E79" s="8" t="inlineStr"/>
    </row>
    <row r="80">
      <c r="A80" s="4" t="inlineStr">
        <is>
          <t>Floors, walls and finishes</t>
        </is>
      </c>
      <c r="B80" s="4" t="inlineStr">
        <is>
          <t>Cement grout in bathrooms turns black.</t>
        </is>
      </c>
      <c r="C80" s="4" t="inlineStr">
        <is>
          <t>Use epoxy grout in wet areas.</t>
        </is>
      </c>
      <c r="D80" s="4" t="inlineStr">
        <is>
          <t>A-001</t>
        </is>
      </c>
      <c r="E80" s="8" t="inlineStr"/>
    </row>
    <row r="81">
      <c r="A81" s="4" t="inlineStr">
        <is>
          <t>Floors, walls and finishes</t>
        </is>
      </c>
      <c r="B81" s="4" t="inlineStr">
        <is>
          <t>Exterior paint that chalks and fades in strong sun.</t>
        </is>
      </c>
      <c r="C81" s="4" t="inlineStr">
        <is>
          <t>Use a waterproof plaster additive and elastomeric or UV-stable exterior paint.</t>
        </is>
      </c>
      <c r="D81" s="4" t="inlineStr">
        <is>
          <t>A-601</t>
        </is>
      </c>
      <c r="E81" s="8" t="inlineStr"/>
    </row>
    <row r="82">
      <c r="A82" s="4" t="inlineStr">
        <is>
          <t>Roof and rainwater</t>
        </is>
      </c>
      <c r="B82" s="4" t="inlineStr">
        <is>
          <t>Clay tiles just resting on battens: a cyclone strips the edges first.</t>
        </is>
      </c>
      <c r="C82" s="4" t="inlineStr">
        <is>
          <t>Clip or screw every eave, verge, hip and ridge tile, plus every third row elsewhere.</t>
        </is>
      </c>
      <c r="D82" s="4" t="inlineStr">
        <is>
          <t>A-106, A-501/4</t>
        </is>
      </c>
      <c r="E82" s="8" t="inlineStr"/>
    </row>
    <row r="83">
      <c r="A83" s="4" t="inlineStr">
        <is>
          <t>Roof and rainwater</t>
        </is>
      </c>
      <c r="B83" s="4" t="inlineStr">
        <is>
          <t>Water creeping back under the eave tiles and into the soffit.</t>
        </is>
      </c>
      <c r="C83" s="4" t="inlineStr">
        <is>
          <t>Use a fascia with drip-edge flashing turned down into the gutter, and raise the first tile row on a tilting fillet.</t>
        </is>
      </c>
      <c r="D83" s="4" t="inlineStr">
        <is>
          <t>A-501/4</t>
        </is>
      </c>
      <c r="E83" s="8" t="inlineStr"/>
    </row>
    <row r="84">
      <c r="A84" s="4" t="inlineStr">
        <is>
          <t>Roof and rainwater</t>
        </is>
      </c>
      <c r="B84" s="4" t="inlineStr">
        <is>
          <t>No gutters: roof water splashes the plinth and soaks the foundation.</t>
        </is>
      </c>
      <c r="C84" s="4" t="inlineStr">
        <is>
          <t>Gutters on both long eaves, downpipes into the sump filter and recharge pit.</t>
        </is>
      </c>
      <c r="D84" s="4" t="inlineStr">
        <is>
          <t>A-106, P-101</t>
        </is>
      </c>
      <c r="E84" s="8" t="inlineStr"/>
    </row>
    <row r="85">
      <c r="A85" s="4" t="inlineStr">
        <is>
          <t>Roof and rainwater</t>
        </is>
      </c>
      <c r="B85" s="4" t="inlineStr">
        <is>
          <t>Valleys and skylight edges sealed only with mortar or sealant.</t>
        </is>
      </c>
      <c r="C85" s="4" t="inlineStr">
        <is>
          <t>Use 600 mm metal valley gutters, and a 9 in upstand with flashing at the ventilator.</t>
        </is>
      </c>
      <c r="D85" s="4" t="inlineStr">
        <is>
          <t>A-106</t>
        </is>
      </c>
      <c r="E85" s="8" t="inlineStr"/>
    </row>
    <row r="86">
      <c r="A86" s="4" t="inlineStr">
        <is>
          <t>Roof and rainwater</t>
        </is>
      </c>
      <c r="B86" s="4" t="inlineStr">
        <is>
          <t>No insulation under Mangalore tiles: rooms radiate heat until midnight.</t>
        </is>
      </c>
      <c r="C86" s="4" t="inlineStr">
        <is>
          <t>Add 50 mm insulation on the deck, ventilate the attic at ridge and soffits, and fit insulated false ceilings in bedrooms.</t>
        </is>
      </c>
      <c r="D86" s="4" t="inlineStr">
        <is>
          <t>A-301, A-501/4</t>
        </is>
      </c>
      <c r="E86" s="8" t="inlineStr"/>
    </row>
    <row r="87">
      <c r="A87" s="4" t="inlineStr">
        <is>
          <t>Roof and rainwater</t>
        </is>
      </c>
      <c r="B87" s="4" t="inlineStr">
        <is>
          <t>Birds, bats and rats nesting in the roof.</t>
        </is>
      </c>
      <c r="C87" s="4" t="inlineStr">
        <is>
          <t>Bird stops at the eaves and mesh at ridge vents and soffits.</t>
        </is>
      </c>
      <c r="D87" s="4" t="inlineStr">
        <is>
          <t>A-501/4</t>
        </is>
      </c>
      <c r="E87" s="8" t="inlineStr"/>
    </row>
    <row r="88">
      <c r="A88" s="4" t="inlineStr">
        <is>
          <t>Electrical</t>
        </is>
      </c>
      <c r="B88" s="4" t="inlineStr">
        <is>
          <t>One circuit for everything; cheap wire.</t>
        </is>
      </c>
      <c r="C88" s="4" t="inlineStr">
        <is>
          <t>Separate MCBs for each AC, geyser, kitchen and pump; RCCB 30 mA; FR-LSH copper wire sized per load.</t>
        </is>
      </c>
      <c r="D88" s="4" t="inlineStr">
        <is>
          <t>E-102</t>
        </is>
      </c>
      <c r="E88" s="8" t="inlineStr"/>
    </row>
    <row r="89">
      <c r="A89" s="4" t="inlineStr">
        <is>
          <t>Electrical</t>
        </is>
      </c>
      <c r="B89" s="4" t="inlineStr">
        <is>
          <t>No inverter wiring planned, so it gets rewired later.</t>
        </is>
      </c>
      <c r="C89" s="4" t="inlineStr">
        <is>
          <t>Put lights, fans, office sockets and the router on a separate inverter circuit from day one.</t>
        </is>
      </c>
      <c r="D89" s="4" t="inlineStr">
        <is>
          <t>E-101, E-102</t>
        </is>
      </c>
      <c r="E89" s="8" t="inlineStr"/>
    </row>
    <row r="90">
      <c r="A90" s="4" t="inlineStr">
        <is>
          <t>Electrical</t>
        </is>
      </c>
      <c r="B90" s="4" t="inlineStr">
        <is>
          <t>AC drain pipe dripping down the wall and sleeves forgotten.</t>
        </is>
      </c>
      <c r="C90" s="4" t="inlineStr">
        <is>
          <t>Fit a 65 mm sleeve sloping out, a drain to a gully, and ODU brackets on shaded walls.</t>
        </is>
      </c>
      <c r="D90" s="4" t="inlineStr">
        <is>
          <t>E-102</t>
        </is>
      </c>
      <c r="E90" s="8" t="inlineStr"/>
    </row>
    <row r="91">
      <c r="A91" s="4" t="inlineStr">
        <is>
          <t>Electrical</t>
        </is>
      </c>
      <c r="B91" s="4" t="inlineStr">
        <is>
          <t>No spare conduits for solar PV, CCTV, the sump pump and gate.</t>
        </is>
      </c>
      <c r="C91" s="4" t="inlineStr">
        <is>
          <t>Run empty 25 mm conduits to the DB now; it costs little at this stage.</t>
        </is>
      </c>
      <c r="D91" s="4" t="inlineStr">
        <is>
          <t>E-102, A-106</t>
        </is>
      </c>
      <c r="E91" s="8" t="inlineStr"/>
    </row>
    <row r="92">
      <c r="A92" s="4" t="inlineStr">
        <is>
          <t>Plumbing and water</t>
        </is>
      </c>
      <c r="B92" s="4" t="inlineStr">
        <is>
          <t>Pipes buried under the floor slab: leaks can't be found without breaking tiles.</t>
        </is>
      </c>
      <c r="C92" s="4" t="inlineStr">
        <is>
          <t>Run supply lines along the outside walls in clamps or shallow chases, with a valve per room.</t>
        </is>
      </c>
      <c r="D92" s="4" t="inlineStr">
        <is>
          <t>P-101</t>
        </is>
      </c>
      <c r="E92" s="8" t="inlineStr"/>
    </row>
    <row r="93">
      <c r="A93" s="4" t="inlineStr">
        <is>
          <t>Plumbing and water</t>
        </is>
      </c>
      <c r="B93" s="4" t="inlineStr">
        <is>
          <t>Overhead tank on a short stand: showers barely run.</t>
        </is>
      </c>
      <c r="C93" s="4" t="inlineStr">
        <is>
          <t>Put the tank on an 18 ft stand (about 9 ft of head over the shower roses) and add a small pressure pump for the showers.</t>
        </is>
      </c>
      <c r="D93" s="4" t="inlineStr">
        <is>
          <t>A-202, A-101</t>
        </is>
      </c>
      <c r="E93" s="8" t="inlineStr"/>
    </row>
    <row r="94">
      <c r="A94" s="4" t="inlineStr">
        <is>
          <t>Plumbing and water</t>
        </is>
      </c>
      <c r="B94" s="4" t="inlineStr">
        <is>
          <t>All waste going into the septic tank, which overloads it.</t>
        </is>
      </c>
      <c r="C94" s="4" t="inlineStr">
        <is>
          <t>Keep soil and grey water separate: soil to the septic, grey to a soak trench, with inspection chambers at every bend.</t>
        </is>
      </c>
      <c r="D94" s="4" t="inlineStr">
        <is>
          <t>P-101</t>
        </is>
      </c>
      <c r="E94" s="8" t="inlineStr"/>
    </row>
    <row r="95">
      <c r="A95" s="4" t="inlineStr">
        <is>
          <t>Plumbing and water</t>
        </is>
      </c>
      <c r="B95" s="4" t="inlineStr">
        <is>
          <t>Drinking borewell water without testing it (fluoride is common around Guntur).</t>
        </is>
      </c>
      <c r="C95" s="4" t="inlineStr">
        <is>
          <t>Test the water; RO at the kitchen for drinking, and a softener if hardness exceeds 300 mg/l.</t>
        </is>
      </c>
      <c r="D95" s="4" t="inlineStr">
        <is>
          <t>P-101</t>
        </is>
      </c>
      <c r="E95" s="8" t="inlineStr"/>
    </row>
    <row r="96">
      <c r="A96" s="4" t="inlineStr">
        <is>
          <t>Plumbing and water</t>
        </is>
      </c>
      <c r="B96" s="4" t="inlineStr">
        <is>
          <t>Sump lid at ground level: surface water and insects get in.</t>
        </is>
      </c>
      <c r="C96" s="4" t="inlineStr">
        <is>
          <t>Raise the sump cover 6 in above the paving with a locked, sealed lid, and keep it 20 ft+ from the septic.</t>
        </is>
      </c>
      <c r="D96" s="4" t="inlineStr">
        <is>
          <t>A-101</t>
        </is>
      </c>
      <c r="E96" s="8" t="inlineStr"/>
    </row>
    <row r="97">
      <c r="A97" s="4" t="inlineStr">
        <is>
          <t>Outside: yard, gate and garden</t>
        </is>
      </c>
      <c r="B97" s="4" t="inlineStr">
        <is>
          <t>Gate swinging out onto the road, or too narrow for two-wheelers.</t>
        </is>
      </c>
      <c r="C97" s="4" t="inlineStr">
        <is>
          <t>Use a 7 ft gate swinging inward or sliding, with the meter and bell in the pillar.</t>
        </is>
      </c>
      <c r="D97" s="4" t="inlineStr">
        <is>
          <t>A-101</t>
        </is>
      </c>
      <c r="E97" s="8" t="inlineStr"/>
    </row>
    <row r="98">
      <c r="A98" s="4" t="inlineStr">
        <is>
          <t>Outside: yard, gate and garden</t>
        </is>
      </c>
      <c r="B98" s="4" t="inlineStr">
        <is>
          <t>Two-wheeler bay with no slope: puddles.</t>
        </is>
      </c>
      <c r="C98" s="4" t="inlineStr">
        <is>
          <t>Pave it sloping 1:50 toward the road drain.</t>
        </is>
      </c>
      <c r="D98" s="4" t="inlineStr">
        <is>
          <t>A-101</t>
        </is>
      </c>
      <c r="E98" s="8" t="inlineStr"/>
    </row>
    <row r="99">
      <c r="A99" s="4" t="inlineStr">
        <is>
          <t>Outside: yard, gate and garden</t>
        </is>
      </c>
      <c r="B99" s="4" t="inlineStr">
        <is>
          <t>No outdoor drying space.</t>
        </is>
      </c>
      <c r="C99" s="4" t="inlineStr">
        <is>
          <t>A fold-away clothesline in the south walkway beside the open wet area (sunny, private).</t>
        </is>
      </c>
      <c r="D99" s="4" t="inlineStr">
        <is>
          <t>A-103</t>
        </is>
      </c>
      <c r="E99" s="8" t="inlineStr"/>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70" customWidth="1" min="3" max="3"/>
    <col width="24" customWidth="1" min="4" max="4"/>
    <col width="14" customWidth="1" min="5" max="5"/>
    <col width="30" customWidth="1" min="6" max="6"/>
  </cols>
  <sheetData>
    <row r="1" ht="30" customHeight="1">
      <c r="A1" s="3" t="inlineStr">
        <is>
          <t>#</t>
        </is>
      </c>
      <c r="B1" s="3" t="inlineStr">
        <is>
          <t>Stage</t>
        </is>
      </c>
      <c r="C1" s="3" t="inlineStr">
        <is>
          <t>Check before it is covered up</t>
        </is>
      </c>
      <c r="D1" s="3" t="inlineStr">
        <is>
          <t>Who signs off</t>
        </is>
      </c>
      <c r="E1" s="3" t="inlineStr">
        <is>
          <t>Date checked</t>
        </is>
      </c>
      <c r="F1" s="3" t="inlineStr">
        <is>
          <t>Photos / notes</t>
        </is>
      </c>
    </row>
    <row r="2">
      <c r="A2" s="4" t="n">
        <v>1</v>
      </c>
      <c r="B2" s="4" t="inlineStr">
        <is>
          <t>Before design freeze</t>
        </is>
      </c>
      <c r="C2" s="4" t="inlineStr">
        <is>
          <t>Soil test report, level survey of plot and road, water quality test (TDS, hardness, fluoride)</t>
        </is>
      </c>
      <c r="D2" s="4" t="inlineStr">
        <is>
          <t>Owner, engineer</t>
        </is>
      </c>
      <c r="E2" s="8" t="inlineStr"/>
      <c r="F2" s="8" t="inlineStr"/>
    </row>
    <row r="3">
      <c r="A3" s="4" t="n">
        <v>2</v>
      </c>
      <c r="B3" s="4" t="inlineStr">
        <is>
          <t>Excavation</t>
        </is>
      </c>
      <c r="C3" s="4" t="inlineStr">
        <is>
          <t>Footing depth and bearing layer seen in the pit; no black soil left under footings</t>
        </is>
      </c>
      <c r="D3" s="4" t="inlineStr">
        <is>
          <t>Structural engineer</t>
        </is>
      </c>
      <c r="E3" s="8" t="inlineStr"/>
      <c r="F3" s="8" t="inlineStr"/>
    </row>
    <row r="4">
      <c r="A4" s="4" t="n">
        <v>3</v>
      </c>
      <c r="B4" s="4" t="inlineStr">
        <is>
          <t>Before each concrete pour</t>
        </is>
      </c>
      <c r="C4" s="4" t="inlineStr">
        <is>
          <t>Reinforcement, cover blocks, laps and column positions checked; photos taken</t>
        </is>
      </c>
      <c r="D4" s="4" t="inlineStr">
        <is>
          <t>Engineer / site supervisor</t>
        </is>
      </c>
      <c r="E4" s="8" t="inlineStr"/>
      <c r="F4" s="8" t="inlineStr"/>
    </row>
    <row r="5">
      <c r="A5" s="4" t="n">
        <v>4</v>
      </c>
      <c r="B5" s="4" t="inlineStr">
        <is>
          <t>Plinth</t>
        </is>
      </c>
      <c r="C5" s="4" t="inlineStr">
        <is>
          <t>Anti-termite treatment (certificate), fill compaction, DPC laid and cured</t>
        </is>
      </c>
      <c r="D5" s="4" t="inlineStr">
        <is>
          <t>Supervisor</t>
        </is>
      </c>
      <c r="E5" s="8" t="inlineStr"/>
      <c r="F5" s="8" t="inlineStr"/>
    </row>
    <row r="6">
      <c r="A6" s="4" t="n">
        <v>5</v>
      </c>
      <c r="B6" s="4" t="inlineStr">
        <is>
          <t>Before plaster</t>
        </is>
      </c>
      <c r="C6" s="4" t="inlineStr">
        <is>
          <t>Conduits, pipes, AC sleeves, mesh over AAC joints; photos with a tape measure in view</t>
        </is>
      </c>
      <c r="D6" s="4" t="inlineStr">
        <is>
          <t>Owner, supervisor</t>
        </is>
      </c>
      <c r="E6" s="8" t="inlineStr"/>
      <c r="F6" s="8" t="inlineStr"/>
    </row>
    <row r="7">
      <c r="A7" s="4" t="n">
        <v>6</v>
      </c>
      <c r="B7" s="4" t="inlineStr">
        <is>
          <t>Wet rooms</t>
        </is>
      </c>
      <c r="C7" s="4" t="inlineStr">
        <is>
          <t>Waterproofing coats, upturns, 48 h flood test passed before any tile is laid</t>
        </is>
      </c>
      <c r="D7" s="4" t="inlineStr">
        <is>
          <t>Owner, plumber</t>
        </is>
      </c>
      <c r="E7" s="8" t="inlineStr"/>
      <c r="F7" s="8" t="inlineStr"/>
    </row>
    <row r="8">
      <c r="A8" s="4" t="n">
        <v>7</v>
      </c>
      <c r="B8" s="4" t="inlineStr">
        <is>
          <t>Roof</t>
        </is>
      </c>
      <c r="C8" s="4" t="inlineStr">
        <is>
          <t>Truss holding-down bolts, membrane and insulation, edge tiles clipped, flashings at the ventilator and valleys</t>
        </is>
      </c>
      <c r="D8" s="4" t="inlineStr">
        <is>
          <t>Engineer, owner</t>
        </is>
      </c>
      <c r="E8" s="8" t="inlineStr"/>
      <c r="F8" s="8" t="inlineStr"/>
    </row>
    <row r="9">
      <c r="A9" s="4" t="n">
        <v>8</v>
      </c>
      <c r="B9" s="4" t="inlineStr">
        <is>
          <t>Before handover</t>
        </is>
      </c>
      <c r="C9" s="4" t="inlineStr">
        <is>
          <t>Water test on every floor slope and sill, plumbing pressure test, electrical insulation and earth test</t>
        </is>
      </c>
      <c r="D9" s="4" t="inlineStr">
        <is>
          <t>Owner, MEP</t>
        </is>
      </c>
      <c r="E9" s="8" t="inlineStr"/>
      <c r="F9" s="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80" customWidth="1" min="3" max="3"/>
    <col width="22" customWidth="1" min="4" max="4"/>
    <col width="18" customWidth="1" min="5" max="5"/>
  </cols>
  <sheetData>
    <row r="1" ht="30" customHeight="1">
      <c r="A1" s="3" t="inlineStr">
        <is>
          <t>#</t>
        </is>
      </c>
      <c r="B1" s="3" t="inlineStr">
        <is>
          <t>Category</t>
        </is>
      </c>
      <c r="C1" s="3" t="inlineStr">
        <is>
          <t>Issue</t>
        </is>
      </c>
      <c r="D1" s="3" t="inlineStr">
        <is>
          <t>Who resolves</t>
        </is>
      </c>
      <c r="E1" s="3" t="inlineStr">
        <is>
          <t>Status</t>
        </is>
      </c>
    </row>
    <row r="2">
      <c r="A2" s="4" t="n">
        <v>1</v>
      </c>
      <c r="B2" s="4" t="inlineStr">
        <is>
          <t>Land</t>
        </is>
      </c>
      <c r="C2" s="4" t="inlineStr">
        <is>
          <t>Front yard is now 8 ft (house 62 ft long): confirm the front setback allowed for this plot and road width before finalising; fall back to a 60 ft house if 10 ft is required</t>
        </is>
      </c>
      <c r="D2" s="4" t="inlineStr">
        <is>
          <t>Architect</t>
        </is>
      </c>
      <c r="E2" s="8" t="inlineStr">
        <is>
          <t>Open</t>
        </is>
      </c>
    </row>
    <row r="3">
      <c r="A3" s="4" t="n">
        <v>2</v>
      </c>
      <c r="B3" s="4" t="inlineStr">
        <is>
          <t>Layout</t>
        </is>
      </c>
      <c r="C3" s="4" t="inlineStr">
        <is>
          <t>TV on Bedroom 2's east wall facing the dining bay: confirm screen size (55-65 in at about 9 ft) and a concealed HDMI/data conduit from the unit</t>
        </is>
      </c>
      <c r="D3" s="4" t="inlineStr">
        <is>
          <t>Owner</t>
        </is>
      </c>
      <c r="E3" s="8" t="inlineStr">
        <is>
          <t>Open</t>
        </is>
      </c>
    </row>
    <row r="4">
      <c r="A4" s="4" t="n">
        <v>3</v>
      </c>
      <c r="B4" s="4" t="inlineStr">
        <is>
          <t>Land</t>
        </is>
      </c>
      <c r="C4" s="4" t="inlineStr">
        <is>
          <t>Agricultural land: confirm conversion to non-agricultural use with the gram panchayat / collector (AP repealed the NALA Act in 2025; new process to be confirmed)</t>
        </is>
      </c>
      <c r="D4" s="4" t="inlineStr">
        <is>
          <t>Owner / surveyor</t>
        </is>
      </c>
      <c r="E4" s="8" t="inlineStr">
        <is>
          <t>Open</t>
        </is>
      </c>
    </row>
    <row r="5">
      <c r="A5" s="4" t="n">
        <v>4</v>
      </c>
      <c r="B5" s="4" t="inlineStr">
        <is>
          <t>Land</t>
        </is>
      </c>
      <c r="C5" s="4" t="inlineStr">
        <is>
          <t>Building permission route (panchayat vs DTCP / APCRDA via APDPMS) and setbacks under AP Building Rules 2017</t>
        </is>
      </c>
      <c r="D5" s="4" t="inlineStr">
        <is>
          <t>Architect</t>
        </is>
      </c>
      <c r="E5" s="8" t="inlineStr">
        <is>
          <t>Open</t>
        </is>
      </c>
    </row>
    <row r="6">
      <c r="A6" s="4" t="n">
        <v>5</v>
      </c>
      <c r="B6" s="4" t="inlineStr">
        <is>
          <t>Land</t>
        </is>
      </c>
      <c r="C6" s="4" t="inlineStr">
        <is>
          <t>Plot 27 ft x 75 ft (length to confirm by survey): north wall is 2 ft from the plot line and eaves overhang the owned north strip; septic and soak trench sit in the strip</t>
        </is>
      </c>
      <c r="D6" s="4" t="inlineStr">
        <is>
          <t>Architect</t>
        </is>
      </c>
      <c r="E6" s="8" t="inlineStr">
        <is>
          <t>Open</t>
        </is>
      </c>
    </row>
    <row r="7">
      <c r="A7" s="4" t="n">
        <v>6</v>
      </c>
      <c r="B7" s="4" t="inlineStr">
        <is>
          <t>Soil</t>
        </is>
      </c>
      <c r="C7" s="4" t="inlineStr">
        <is>
          <t>Soil test (bore holes to 3 m min): black cotton soil is common in Guntur. Foundation type (isolated footings below active zone, under-reamed piles, or soil replacement) depends on it</t>
        </is>
      </c>
      <c r="D7" s="4" t="inlineStr">
        <is>
          <t>Structural engineer</t>
        </is>
      </c>
      <c r="E7" s="8" t="inlineStr">
        <is>
          <t>Open</t>
        </is>
      </c>
    </row>
    <row r="8">
      <c r="A8" s="4" t="n">
        <v>7</v>
      </c>
      <c r="B8" s="4" t="inlineStr">
        <is>
          <t>Structure</t>
        </is>
      </c>
      <c r="C8" s="4" t="inlineStr">
        <is>
          <t>RCC frame with AAC infill: columns, plinth beam, lintel band, ring beam; steel truss with cyclone tie-downs</t>
        </is>
      </c>
      <c r="D8" s="4" t="inlineStr">
        <is>
          <t>Structural engineer</t>
        </is>
      </c>
      <c r="E8" s="8" t="inlineStr">
        <is>
          <t>Open</t>
        </is>
      </c>
    </row>
    <row r="9">
      <c r="A9" s="4" t="n">
        <v>8</v>
      </c>
      <c r="B9" s="4" t="inlineStr">
        <is>
          <t>Security</t>
        </is>
      </c>
      <c r="C9" s="4" t="inlineStr">
        <is>
          <t>Wet area is open to the walkway: lockable steel/WPC kitchen-to-wet-area door, compound wall and gate at the back; optional MS grille shutter across the wet area opening</t>
        </is>
      </c>
      <c r="D9" s="4" t="inlineStr">
        <is>
          <t>Owner / architect</t>
        </is>
      </c>
      <c r="E9" s="8" t="inlineStr">
        <is>
          <t>Open</t>
        </is>
      </c>
    </row>
    <row r="10">
      <c r="A10" s="4" t="n">
        <v>9</v>
      </c>
      <c r="B10" s="4" t="inlineStr">
        <is>
          <t>Services</t>
        </is>
      </c>
      <c r="C10" s="4" t="inlineStr">
        <is>
          <t>Groundwater: test TDS, hardness, fluoride. Plan RO for drinking and a softener for bathrooms if hardness is high</t>
        </is>
      </c>
      <c r="D10" s="4" t="inlineStr">
        <is>
          <t>Plumber / owner</t>
        </is>
      </c>
      <c r="E10" s="8" t="inlineStr">
        <is>
          <t>Open</t>
        </is>
      </c>
    </row>
    <row r="11">
      <c r="A11" s="4" t="n">
        <v>10</v>
      </c>
      <c r="B11" s="4" t="inlineStr">
        <is>
          <t>Services</t>
        </is>
      </c>
      <c r="C11" s="4" t="inlineStr">
        <is>
          <t>Septic tank size and soak trench length (percolation test); keep soak trenches and gardens 6 ft+ from foundations in expansive soil</t>
        </is>
      </c>
      <c r="D11" s="4" t="inlineStr">
        <is>
          <t>Engineer</t>
        </is>
      </c>
      <c r="E11" s="8" t="inlineStr">
        <is>
          <t>Open</t>
        </is>
      </c>
    </row>
    <row r="12">
      <c r="A12" s="4" t="n">
        <v>11</v>
      </c>
      <c r="B12" s="4" t="inlineStr">
        <is>
          <t>Services</t>
        </is>
      </c>
      <c r="C12" s="4" t="inlineStr">
        <is>
          <t>Electrical load (with ACs), service connection size, earthing, inverter / solar PV</t>
        </is>
      </c>
      <c r="D12" s="4" t="inlineStr">
        <is>
          <t>Electrical engineer</t>
        </is>
      </c>
      <c r="E12" s="8" t="inlineStr">
        <is>
          <t>Open</t>
        </is>
      </c>
    </row>
    <row r="13">
      <c r="A13" s="4" t="n">
        <v>12</v>
      </c>
      <c r="B13" s="4" t="inlineStr">
        <is>
          <t>Phase 2</t>
        </is>
      </c>
      <c r="C13" s="4" t="inlineStr">
        <is>
          <t>Phase 2 on the north strip will block north light and sits on the septic: plan the split now</t>
        </is>
      </c>
      <c r="D13" s="4" t="inlineStr">
        <is>
          <t>Architect</t>
        </is>
      </c>
      <c r="E13" s="8" t="inlineStr">
        <is>
          <t>Deferred by owner</t>
        </is>
      </c>
    </row>
    <row r="14">
      <c r="A14" s="4" t="n">
        <v>13</v>
      </c>
      <c r="B14" s="4" t="inlineStr">
        <is>
          <t>Vastu</t>
        </is>
      </c>
      <c r="C14" s="4" t="inlineStr">
        <is>
          <t>Bed head east (master), NW ensuite, Bedroom 2's attached bath in its north-west corner on the north wall (north-west of the plot centre), common bath south of the plot centre beside the wet area (outside the central zone), dining at the plot centre, pooja in the living's south-east corner back to back with the kitchen, opening west (devotees face east), shoe cupboard between the pooja and the main door (behind the pooja's solid north wall), DB on the dining face of Bedroom 2's east wall</t>
        </is>
      </c>
      <c r="D14" s="4" t="inlineStr">
        <is>
          <t>Vastu consultant</t>
        </is>
      </c>
      <c r="E14" s="8" t="inlineStr">
        <is>
          <t>To confirm</t>
        </is>
      </c>
    </row>
    <row r="15">
      <c r="A15" s="4" t="n">
        <v>14</v>
      </c>
      <c r="B15" s="4" t="inlineStr">
        <is>
          <t>Climate</t>
        </is>
      </c>
      <c r="C15" s="4" t="inlineStr">
        <is>
          <t>Roof heat: insulation, ventilated attic, ventilator lantern louvres and shutters; ODU positions on shaded walls</t>
        </is>
      </c>
      <c r="D15" s="4" t="inlineStr">
        <is>
          <t>Architect</t>
        </is>
      </c>
      <c r="E15" s="8" t="inlineStr">
        <is>
          <t>Open</t>
        </is>
      </c>
    </row>
    <row r="16">
      <c r="A16" s="4" t="n">
        <v>15</v>
      </c>
      <c r="B16" s="4" t="inlineStr">
        <is>
          <t>Levels</t>
        </is>
      </c>
      <c r="C16" s="4" t="inlineStr">
        <is>
          <t>Survey road and field levels; plinth at 2 ft above finished ground (raise if site floods)</t>
        </is>
      </c>
      <c r="D16" s="4" t="inlineStr">
        <is>
          <t>Surveyor / architect</t>
        </is>
      </c>
      <c r="E16" s="8" t="inlineStr">
        <is>
          <t>Open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2"/>
  <sheetViews>
    <sheetView workbookViewId="0">
      <pane ySplit="1" topLeftCell="A2" activePane="bottomLeft" state="frozen"/>
      <selection pane="bottomLeft" activeCell="A1" sqref="A1"/>
    </sheetView>
  </sheetViews>
  <sheetFormatPr baseColWidth="8" defaultRowHeight="15"/>
  <cols>
    <col width="5" customWidth="1" min="1" max="1"/>
    <col width="110" customWidth="1" min="2" max="2"/>
  </cols>
  <sheetData>
    <row r="1" ht="30" customHeight="1">
      <c r="A1" s="3" t="inlineStr">
        <is>
          <t>#</t>
        </is>
      </c>
      <c r="B1" s="3" t="inlineStr">
        <is>
          <t>Decision (agreed in concept stage)</t>
        </is>
      </c>
    </row>
    <row r="2">
      <c r="A2" s="4" t="n">
        <v>1</v>
      </c>
      <c r="B2" s="4" t="inlineStr">
        <is>
          <t>Site is in Guntur, Andhra Pradesh (farm land), not Kerala; Kerala style kept, construction adapted to local climate and soil.</t>
        </is>
      </c>
    </row>
    <row r="3">
      <c r="A3" s="4" t="n">
        <v>2</v>
      </c>
      <c r="B3" s="4" t="inlineStr">
        <is>
          <t>Plot 27 ft x 75 ft (5 ft longer than first assumed; confirm by survey), road on east; house 62 ft x 22 ft (lengthened 2 ft for Bedroom 2) with an 8 ft front yard and 5 ft rear garden; owner accepts local practice on side setbacks (to be checked).</t>
        </is>
      </c>
    </row>
    <row r="4">
      <c r="A4" s="4" t="n">
        <v>3</v>
      </c>
      <c r="B4" s="4" t="inlineStr">
        <is>
          <t>RCC frame with AAC block walls: 9 in outer, 5 in inner, 7 in where plumbing is concealed.</t>
        </is>
      </c>
    </row>
    <row r="5">
      <c r="A5" s="4" t="n">
        <v>4</v>
      </c>
      <c r="B5" s="4" t="inlineStr">
        <is>
          <t>Plinth 2 ft above finished ground; poomukham 6 in lower; bathrooms 12 mm lower with no raised threshold.</t>
        </is>
      </c>
    </row>
    <row r="6">
      <c r="A6" s="4" t="n">
        <v>5</v>
      </c>
      <c r="B6" s="4" t="inlineStr">
        <is>
          <t>AC provisions (points, sleeves, drain, outdoor-unit brackets) in both bedrooms, the office and living; passive cooling first.</t>
        </is>
      </c>
    </row>
    <row r="7">
      <c r="A7" s="4" t="n">
        <v>6</v>
      </c>
      <c r="B7" s="4" t="inlineStr">
        <is>
          <t>Flat insulated false ceilings in bedrooms, offices, baths and kitchen; sloped ceilings in living, dining and verandah.</t>
        </is>
      </c>
    </row>
    <row r="8">
      <c r="A8" s="4" t="n">
        <v>7</v>
      </c>
      <c r="B8" s="4" t="inlineStr">
        <is>
          <t>No glass skylight: the dining gets borrowed daylight from the living, the nook window and the hall; a louvred ventilator lantern above it lets hot air out (no glass, so no greenhouse heat).</t>
        </is>
      </c>
    </row>
    <row r="9">
      <c r="A9" s="4" t="n">
        <v>8</v>
      </c>
      <c r="B9" s="4" t="inlineStr">
        <is>
          <t>Courtyard removed; the dining hall at plot centre keeps the Brahmasthan open, with the ventilator above.</t>
        </is>
      </c>
    </row>
    <row r="10">
      <c r="A10" s="4" t="n">
        <v>9</v>
      </c>
      <c r="B10" s="4" t="inlineStr">
        <is>
          <t>Single storey, no internal stair; roof access by fixed ladder; water tank on stand in SW rear garden.</t>
        </is>
      </c>
    </row>
    <row r="11">
      <c r="A11" s="4" t="n">
        <v>10</v>
      </c>
      <c r="B11" s="4" t="inlineStr">
        <is>
          <t>Service band on south (heat buffer); bedrooms and living get north light.</t>
        </is>
      </c>
    </row>
    <row r="12">
      <c r="A12" s="4" t="n">
        <v>11</v>
      </c>
      <c r="B12" s="4" t="inlineStr">
        <is>
          <t>Kitchen in SE; stove on east wall; open wet area onto the walkway; provisions in bench drawers, kitchen cabinets and lofts (no separate store).</t>
        </is>
      </c>
    </row>
    <row r="13">
      <c r="A13" s="4" t="n">
        <v>12</v>
      </c>
      <c r="B13" s="4" t="inlineStr">
        <is>
          <t>Bedroom doors widened to 3 ft; bathroom, office and store doors 2 ft 6 in.</t>
        </is>
      </c>
    </row>
    <row r="14">
      <c r="A14" s="4" t="n">
        <v>13</v>
      </c>
      <c r="B14" s="4" t="inlineStr">
        <is>
          <t>Twentieth review: Bedroom 2's bed moves to the east wall, head east, leaving an 8 x 14 ft open floor from the door to the bath and window; wardrobe to the west wall (sound buffer to the master), work table north of the bed, AC on the bath's outer wall; dresser dropped (mirror on the wardrobe).</t>
        </is>
      </c>
    </row>
    <row r="15">
      <c r="A15" s="4" t="n">
        <v>14</v>
      </c>
      <c r="B15" s="4" t="inlineStr">
        <is>
          <t>Nineteenth review: with Bedroom 2 at 17 ft, its bed turns head-south in the middle of the room (2 ft+ on both sides, under the jali); Bath 2 grows to 7' x 7' (6'-7" x 6'-4" clear) with a 3' x 3'-6" wet zone, basin in the dry zone and the door on its east wall; a dresser takes the west wall; work table and wardrobe stay on the east wall.</t>
        </is>
      </c>
    </row>
    <row r="16">
      <c r="A16" s="4" t="n">
        <v>15</v>
      </c>
      <c r="B16" s="4" t="inlineStr">
        <is>
          <t>Eighteenth review: house lengthened 2 ft to 62 ft, all of it added to Bedroom 2 (now 17 ft wide; the sitting area below it also gains 2 ft); front yard 10 ft to 8 ft (check the front setback). Bedroom 2 window back to 6 ft.</t>
        </is>
      </c>
    </row>
    <row r="17">
      <c r="A17" s="4" t="n">
        <v>16</v>
      </c>
      <c r="B17" s="4" t="inlineStr">
        <is>
          <t>Seventeenth review: sitting area gets a 5 ft tall storage cupboard on the south wall between the bench and the window; the hand-wash basin moves to the east end of the serving counter, just outside the common bath, for washing up after meals.</t>
        </is>
      </c>
    </row>
    <row r="18">
      <c r="A18" s="4" t="n">
        <v>17</v>
      </c>
      <c r="B18" s="4" t="inlineStr">
        <is>
          <t>Sixteenth review (independent Indian-architect review): Bath 2 re-planned 7' x 6' so Bedroom 2's bed (head west) has 1'-6" on both sides, work table to the east wall. Kitchen entered only from the dining-side door (hinged, 3 ft); the north sliding door is walled up so the pooja front is quiet, and a tall pantry takes the north wall. East kitchen window cut to 2 ft so the hob and chimney sit on solid wall. Septic tank moved 6 ft+ from the house and the soak pit replaced by a soak trench. Ensuite door opens outward; common bath WC side clearance 17 in, door rehung at the north jamb with a closer, geyser and shower off the window. DB moved to the dining face of Bedroom 2's east wall.</t>
        </is>
      </c>
    </row>
    <row r="19">
      <c r="A19" s="4" t="n">
        <v>18</v>
      </c>
      <c r="B19" s="4" t="inlineStr">
        <is>
          <t>Fifteenth review: TV moves to Bedroom 2's east wall facing the dining bay (the bay becomes the TV lounge; sofa faces west, living AC above the TV). Master bed moves 3'-10" south toward the bay, freeing a 9 x 7 ft zone by the north window and ensuite door with a window seat. Bedroom 2's door moves to the east end of its south wall. Bath 2's door moves to its east wall (basin to its south wall) so Bedroom 2's bed sits in the strip between the bath and the sitting area, head west on the master wall, leaving the middle of the room open.</t>
        </is>
      </c>
    </row>
    <row r="20">
      <c r="A20" s="4" t="n">
        <v>19</v>
      </c>
      <c r="B20" s="4" t="inlineStr">
        <is>
          <t>Fourteenth review (designer review): Bath 2 moves into Bedroom 2's own north-west corner, made 5'-6" x 7'-6" (about 5'-0" x 6'-11" clear) for a 3' x 3'-6" wet zone and a WC with 15 in each side and the master gets back its full room, bed position and 6 ft window. Bath doors open outward (common bath door moved to the sitting-area side, off the dining). Pooja moves 3'-6" south, back to back with the kitchen, with doors opening inward; the fridge moves into the kitchen; a shoe cupboard takes the freed wall beside the main door. Second kitchen door (sliding) straight to the dining. Bedroom 2's south-east corner is notched 1' x 1'-6" so the way from the dining into the sitting area is about 4'-2" instead of 3'-3"; Bedroom 2 gets a real queen bed, a 6 ft window and a high jali vent to the sitting area. Handrail at the entrance steps, grab bars in the baths.</t>
        </is>
      </c>
    </row>
    <row r="21">
      <c r="A21" s="4" t="n">
        <v>20</v>
      </c>
      <c r="B21" s="4" t="inlineStr">
        <is>
          <t>Common bath widened to 6'-6" x 6' (about 6'-0" x 5'-5" clear: 3 x 3 ft shower, WC and basin on the wet wall) by taking 1'-6" from the east end of the sitting area; serving counter now 6 ft.</t>
        </is>
      </c>
    </row>
    <row r="22">
      <c r="A22" s="4" t="n">
        <v>21</v>
      </c>
      <c r="B22" s="4" t="inlineStr">
        <is>
          <t>Twelfth review: Bath 2 becomes a common bath in the old pooja bay beside the wet area (5 x 6 ft, door from the sitting area, WC and basin on the shared wet wall, drains straight to the south walkway); Bedroom 2 is a clean room with no attached bath; wet area narrowed to 5 ft. Hall kept on the south so bedrooms keep their north windows.</t>
        </is>
      </c>
    </row>
    <row r="23">
      <c r="A23" s="4" t="n">
        <v>22</v>
      </c>
      <c r="B23" s="4" t="inlineStr">
        <is>
          <t>Eleventh review: the corner between the pooja and the kitchen becomes part of the kitchen and holds the fridge; the kitchen entrance moves from the dining side to the north (3 ft sliding glass door from the living); the old fridge spot extends the south counter.</t>
        </is>
      </c>
    </row>
    <row r="24">
      <c r="A24" s="4" t="n">
        <v>23</v>
      </c>
      <c r="B24" s="4" t="inlineStr">
        <is>
          <t>Tenth review: main door moved to the north end of the east wall and the pooja 3'-6" north with it, freeing the living's south-east corner beside the kitchen; verandah steps, pillars and swing realigned to the door; TV taken off the east wall (new position open).</t>
        </is>
      </c>
    </row>
    <row r="25">
      <c r="A25" s="4" t="n">
        <v>24</v>
      </c>
      <c r="B25" s="4" t="inlineStr">
        <is>
          <t>Ninth review: pooja moved to the east side, in the living's south-east corner beside the main door and back to back with the kitchen (4 x 4 ft, opens west, idols face west, family faces east). Main door moved 2'-4" north and the TV unit trimmed to suit; the old pooja bay joins the sitting area.</t>
        </is>
      </c>
    </row>
    <row r="26">
      <c r="A26" s="4" t="n">
        <v>25</v>
      </c>
      <c r="B26" s="4" t="inlineStr">
        <is>
          <t>Eighth review: plot 5 ft longer, so the house grows to 60 ft. The master stays 9'-6" x 14' (bay 7 x 8 ft, full-width wardrobe, light from the workstation window; the bay's own south window dropped). Bedroom 2 grows to 15 ft wide, the sitting area to 20 x 7'-6" (Bedroom 2 gives up 1'-6" of depth, now 15 x 14'-6") and the dining to 11 ft; the plot centre now falls in the dining, west of the ventilator (Vastu to confirm).</t>
        </is>
      </c>
    </row>
    <row r="27">
      <c r="A27" s="4" t="n">
        <v>26</v>
      </c>
      <c r="B27" s="4" t="inlineStr">
        <is>
          <t>Seventh review: Bedroom 2 enlarged to 12 x 16 ft by taking the hall strip; its door opens from the sitting area (as the master suite does); hand-wash basin back at the west end of the serving counter.</t>
        </is>
      </c>
    </row>
    <row r="28">
      <c r="A28" s="4" t="n">
        <v>27</v>
      </c>
      <c r="B28" s="4" t="inlineStr">
        <is>
          <t>Sixth review: Office 2 walls and sliding door left out for now (open workstation in the master suite, walls can be added later); Bedroom 2 becomes a study-guest room: work table with monitor beside the bath, sofa-cum-bed instead of a queen bed.</t>
        </is>
      </c>
    </row>
    <row r="29">
      <c r="A29" s="4" t="n">
        <v>28</v>
      </c>
      <c r="B29" s="4" t="inlineStr">
        <is>
          <t>Office 1 removed after family review: one office (Office 2) inside the master suite; Bedroom 2 has its own work desk.</t>
        </is>
      </c>
    </row>
    <row r="30">
      <c r="A30" s="4" t="n">
        <v>29</v>
      </c>
      <c r="B30" s="4" t="inlineStr">
        <is>
          <t>Common bathroom moved to the north side (old pooja spot), entered from the dining corner next to the hall.</t>
        </is>
      </c>
    </row>
    <row r="31">
      <c r="A31" s="4" t="n">
        <v>30</v>
      </c>
      <c r="B31" s="4" t="inlineStr">
        <is>
          <t>Second family review: store (8 x 8 ft) moved next to the bedrooms; pooja reduced to a small shrine opening onto the hall (idols face east); wet area moved west (9 x 8 ft); kitchen 14 x 10 ft with a 5 ft sliding entry from the living; dining gains a basin and crockery nook with a south window; TV moved to the living room's east wall.</t>
        </is>
      </c>
    </row>
    <row r="32">
      <c r="A32" s="4" t="n">
        <v>31</v>
      </c>
      <c r="B32" s="4" t="inlineStr">
        <is>
          <t>Pooja moved beside the wet area and opened to the west (idols face west, the family sits in the nook facing east); shared wall kept dry with no pipes, pooja floor 3 in higher; basin nook shifted west.</t>
        </is>
      </c>
    </row>
    <row r="33">
      <c r="A33" s="4" t="n">
        <v>32</v>
      </c>
      <c r="B33" s="4" t="inlineStr">
        <is>
          <t>Fifth review: Bedroom 2 made one 12 x 12 ft rectangle with a rectangular private bath (north-west corner, outer wall) and its wardrobe on the east wall; the leftover corner at the hall's west end is an open hand-wash corner; serving counter now 9 ft without a basin.</t>
        </is>
      </c>
    </row>
    <row r="34">
      <c r="A34" s="4" t="n">
        <v>33</v>
      </c>
      <c r="B34" s="4" t="inlineStr">
        <is>
          <t>Fourth review: Bath 2 made Bedroom 2's private bath (no common toilet); master suite entered through its bay from the sitting area; the old Bath 2 spot opens to the dining with a north window; family store merged back into the master bedroom as a wardrobe bay; inverter under the sitting-area bench.</t>
        </is>
      </c>
    </row>
    <row r="35">
      <c r="A35" s="4" t="n">
        <v>34</v>
      </c>
      <c r="B35" s="4" t="inlineStr">
        <is>
          <t>Earlier: walk-in wardrobe turned into a family store with a lockable door from the sitting area (inverter inside); built-in sliding wardrobes in the dressing alcove and on the master bedroom's south wall.</t>
        </is>
      </c>
    </row>
    <row r="36">
      <c r="A36" s="4" t="n">
        <v>35</v>
      </c>
      <c r="B36" s="4" t="inlineStr">
        <is>
          <t>Store wall removed: the strip from the walk-in to the pooja is one open sitting and serving area with a storage bench; hand-wash basin set into the west end of the serving counter, about 8 ft from the pooja, draining straight out to the south walkway.</t>
        </is>
      </c>
    </row>
    <row r="37">
      <c r="A37" s="4" t="n">
        <v>36</v>
      </c>
      <c r="B37" s="4" t="inlineStr">
        <is>
          <t>Wet area reduced to 6 x 6 ft and left open on its south side to the walkway (service route from the kitchen to the back of the house); kitchen door moved to face the dining (3 ft sliding glass); basin nook widened to 8 ft with a 6 ft serving counter.</t>
        </is>
      </c>
    </row>
    <row r="38">
      <c r="A38" s="4" t="n">
        <v>37</v>
      </c>
      <c r="B38" s="4" t="inlineStr">
        <is>
          <t>Main door moved to the south part of the living's east wall (still north of the house's centre line); TV on the north part of that wall; steps, swing and arugu seats rearranged on the poomukham.</t>
        </is>
      </c>
    </row>
    <row r="39">
      <c r="A39" s="4" t="n">
        <v>38</v>
      </c>
      <c r="B39" s="4" t="inlineStr">
        <is>
          <t>Third review: hall widened to about 6 ft clear (store, pooja and basin nook made 6 ft deep) so the family can sit facing the pooja; store left open to the hall for now (a wall and door can be added later); broom closet dropped, tall utility cupboard in the wet area instead.</t>
        </is>
      </c>
    </row>
    <row r="40">
      <c r="A40" s="4" t="n">
        <v>39</v>
      </c>
      <c r="B40" s="4" t="inlineStr">
        <is>
          <t>Earlier: hall widened to 4 ft clear (Bedroom 2 gives up 6 in); vents above the office, walk-in, store, pooja and kitchen doors; none at bedrooms or bathrooms (sound privacy).</t>
        </is>
      </c>
    </row>
    <row r="41">
      <c r="A41" s="4" t="n">
        <v>40</v>
      </c>
      <c r="B41" s="4" t="inlineStr">
        <is>
          <t>Ensuite widened by 1'-6" into the master (about 6'-0" x 7'-4" clear); dressing widened by the same strip; master now 9'-6" x 14'-0".</t>
        </is>
      </c>
    </row>
    <row r="42">
      <c r="A42" s="4" t="n">
        <v>41</v>
      </c>
      <c r="B42" s="4" t="inlineStr">
        <is>
          <t>Roof: Mangalore clay tiles on steel truss over insulated cement-fibre deck; all edge tiles mechanically fixed.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2026-10-30T18:15:42Z</dcterms:created>
  <dcterms:modified xsi:type="dcterms:W3CDTF">2026-10-30T18:15:42Z</dcterms:modified>
</cp:coreProperties>
</file>